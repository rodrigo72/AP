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0" codeName="{00000000-0000-0000-0000-000000000000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working\waccache\AM4PEPF00007950\EXCELCNV\bd45490f-beab-48a9-94b7-90f6f1e892e3\"/>
    </mc:Choice>
  </mc:AlternateContent>
  <xr:revisionPtr revIDLastSave="0" documentId="8_{287D47CC-1FBA-4AA2-8E38-D284DDAFD186}" xr6:coauthVersionLast="47" xr6:coauthVersionMax="47" xr10:uidLastSave="{00000000-0000-0000-0000-000000000000}"/>
  <bookViews>
    <workbookView xWindow="-60" yWindow="-60" windowWidth="15480" windowHeight="11640" tabRatio="797" firstSheet="7" activeTab="7" xr2:uid="{817CDAFE-0785-4280-9E7E-67DACCF252F4}"/>
  </bookViews>
  <sheets>
    <sheet name="Regras de Utilização" sheetId="24" r:id="rId1"/>
    <sheet name="Pressupostos" sheetId="12" r:id="rId2"/>
    <sheet name="VN" sheetId="1" r:id="rId3"/>
    <sheet name="CMVMC" sheetId="15" r:id="rId4"/>
    <sheet name="FSE" sheetId="6" r:id="rId5"/>
    <sheet name="Gastos com Pessoal" sheetId="7" r:id="rId6"/>
    <sheet name="FundoManeio" sheetId="3" r:id="rId7"/>
    <sheet name="Investimento" sheetId="25" r:id="rId8"/>
    <sheet name="Financiamento" sheetId="9" r:id="rId9"/>
    <sheet name="Ponto Crítico" sheetId="29" r:id="rId10"/>
    <sheet name="DR" sheetId="2" r:id="rId11"/>
    <sheet name="Cash Flow" sheetId="18" r:id="rId12"/>
    <sheet name="PlanoFinanceiro" sheetId="20" r:id="rId13"/>
    <sheet name="Balanço" sheetId="4" r:id="rId14"/>
    <sheet name="Indicadores" sheetId="5" r:id="rId15"/>
    <sheet name="Avaliação" sheetId="11" r:id="rId16"/>
    <sheet name="Calculos Auxiliares" sheetId="28" r:id="rId17"/>
    <sheet name="Sheet1" sheetId="30" r:id="rId18"/>
  </sheets>
  <functionGroups builtInGroupCount="19"/>
  <externalReferences>
    <externalReference r:id="rId19"/>
    <externalReference r:id="rId20"/>
  </externalReferences>
  <definedNames>
    <definedName name="anscount" hidden="1">1</definedName>
    <definedName name="_xlnm.Print_Area" localSheetId="15">Avaliação!$A$1:$I$67</definedName>
    <definedName name="_xlnm.Print_Area" localSheetId="13">Balanço!$A$1:$H$51</definedName>
    <definedName name="_xlnm.Print_Area" localSheetId="16">'Calculos Auxiliares'!$A$1:$H$91</definedName>
    <definedName name="_xlnm.Print_Area" localSheetId="11">'Cash Flow'!$A$1:$H$23</definedName>
    <definedName name="_xlnm.Print_Area" localSheetId="3">CMVMC!$A$1:$H$29</definedName>
    <definedName name="_xlnm.Print_Area" localSheetId="10">DR!$A$1:$G$32</definedName>
    <definedName name="_xlnm.Print_Area" localSheetId="8">Financiamento!$A$1:$H$104</definedName>
    <definedName name="_xlnm.Print_Area" localSheetId="4">FSE!$A$1:$K$53</definedName>
    <definedName name="_xlnm.Print_Area" localSheetId="6">FundoManeio!$A$1:$H$27</definedName>
    <definedName name="_xlnm.Print_Area" localSheetId="5">'Gastos com Pessoal'!$A$1:$I$102</definedName>
    <definedName name="_xlnm.Print_Area" localSheetId="14">Indicadores!$A$1:$G$28</definedName>
    <definedName name="_xlnm.Print_Area" localSheetId="7">Investimento!$A$1:$H$168</definedName>
    <definedName name="_xlnm.Print_Area" localSheetId="12">PlanoFinanceiro!$A$1:$H$35</definedName>
    <definedName name="_xlnm.Print_Area" localSheetId="9">'Ponto Crítico'!$A$1:$G$13</definedName>
    <definedName name="_xlnm.Print_Area" localSheetId="1">Pressupostos!$A$1:$E$53</definedName>
    <definedName name="_xlnm.Print_Area" localSheetId="0">'Regras de Utilização'!$B$1:$C$37</definedName>
    <definedName name="_xlnm.Print_Area" localSheetId="2">VN!$A$1:$H$88</definedName>
    <definedName name="Bu">[1]INPUT!$B$10</definedName>
    <definedName name="DC">[1]INPUT!$B$8</definedName>
    <definedName name="EXHIBIT_01">#REF!</definedName>
    <definedName name="EXHIBIT_02" localSheetId="16">#REF!</definedName>
    <definedName name="EXHIBIT_02" localSheetId="9">#REF!</definedName>
    <definedName name="EXHIBIT_02">#REF!</definedName>
    <definedName name="EXHIBIT_05" localSheetId="16">#REF!</definedName>
    <definedName name="EXHIBIT_05" localSheetId="9">#REF!</definedName>
    <definedName name="EXHIBIT_05">#REF!</definedName>
    <definedName name="EXHIBIT_06" localSheetId="16">#REF!</definedName>
    <definedName name="EXHIBIT_06" localSheetId="9">#REF!</definedName>
    <definedName name="EXHIBIT_06">#REF!</definedName>
    <definedName name="EXHIBIT_07" localSheetId="16">#REF!</definedName>
    <definedName name="EXHIBIT_07" localSheetId="9">#REF!</definedName>
    <definedName name="EXHIBIT_07">#REF!</definedName>
    <definedName name="EXHIBIT_08" localSheetId="16">#REF!</definedName>
    <definedName name="EXHIBIT_08" localSheetId="9">#REF!</definedName>
    <definedName name="EXHIBIT_08">#REF!</definedName>
    <definedName name="new_proj">'[2]Novos Projectos'!$A$3:$A$57</definedName>
    <definedName name="Pm">[1]INPUT!$B$6</definedName>
    <definedName name="Rd">[1]INPUT!$B$4</definedName>
    <definedName name="Rf" xlm="1">[1]INPUT!$B$5</definedName>
    <definedName name="t">[1]INPUT!$B$7</definedName>
    <definedName name="TD">[1]INPUT!$B$9</definedName>
    <definedName name="_xlnm.Print_Titles" localSheetId="8">Financiamento!$1:$6</definedName>
    <definedName name="_xlnm.Print_Titles" localSheetId="5">'Gastos com Pessoal'!$1:$4</definedName>
    <definedName name="_xlnm.Print_Titles" localSheetId="2">VN!$1:$5</definedName>
    <definedName name="VARa">[1]INPUT!$B$12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1" l="1"/>
  <c r="D24" i="1"/>
  <c r="E24" i="1"/>
  <c r="D14" i="1"/>
  <c r="D16" i="1"/>
  <c r="B79" i="25"/>
  <c r="B123" i="25"/>
  <c r="B130" i="25"/>
  <c r="D12" i="25"/>
  <c r="D21" i="25"/>
  <c r="C13" i="1"/>
  <c r="E41" i="7"/>
  <c r="E42" i="7"/>
  <c r="E56" i="7"/>
  <c r="E16" i="1"/>
  <c r="E14" i="1"/>
  <c r="F14" i="1" s="1"/>
  <c r="G32" i="6"/>
  <c r="H32" i="6"/>
  <c r="I32" i="6"/>
  <c r="J32" i="6"/>
  <c r="K32" i="6"/>
  <c r="C75" i="25"/>
  <c r="C131" i="25" s="1"/>
  <c r="D56" i="7"/>
  <c r="D57" i="7"/>
  <c r="D58" i="7"/>
  <c r="D59" i="7"/>
  <c r="D60" i="7"/>
  <c r="D61" i="7"/>
  <c r="D62" i="7"/>
  <c r="D63" i="7"/>
  <c r="D64" i="7"/>
  <c r="D65" i="7"/>
  <c r="D55" i="7"/>
  <c r="D88" i="7"/>
  <c r="I26" i="7"/>
  <c r="H26" i="7"/>
  <c r="G26" i="7"/>
  <c r="F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E9" i="29"/>
  <c r="F9" i="29"/>
  <c r="G9" i="29"/>
  <c r="A9" i="29"/>
  <c r="A8" i="29"/>
  <c r="C8" i="1"/>
  <c r="C7" i="3"/>
  <c r="G2" i="29"/>
  <c r="G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C51" i="11"/>
  <c r="D51" i="11"/>
  <c r="D73" i="28"/>
  <c r="E73" i="28"/>
  <c r="F73" i="28"/>
  <c r="G73" i="28"/>
  <c r="H73" i="28"/>
  <c r="D74" i="28"/>
  <c r="E74" i="28"/>
  <c r="F74" i="28"/>
  <c r="G74" i="28"/>
  <c r="H74" i="28"/>
  <c r="D75" i="28"/>
  <c r="E75" i="28"/>
  <c r="F75" i="28"/>
  <c r="G75" i="28"/>
  <c r="H75" i="28"/>
  <c r="D76" i="28"/>
  <c r="E76" i="28"/>
  <c r="F76" i="28"/>
  <c r="G76" i="28"/>
  <c r="H76" i="28"/>
  <c r="D77" i="28"/>
  <c r="E77" i="28"/>
  <c r="F77" i="28"/>
  <c r="G77" i="28"/>
  <c r="H77" i="28"/>
  <c r="D78" i="28"/>
  <c r="E78" i="28"/>
  <c r="F78" i="28"/>
  <c r="G78" i="28"/>
  <c r="H78" i="28"/>
  <c r="D79" i="28"/>
  <c r="E79" i="28"/>
  <c r="F79" i="28"/>
  <c r="G79" i="28"/>
  <c r="H79" i="28"/>
  <c r="D80" i="28"/>
  <c r="E80" i="28"/>
  <c r="F80" i="28"/>
  <c r="G80" i="28"/>
  <c r="H80" i="28"/>
  <c r="D81" i="28"/>
  <c r="E81" i="28"/>
  <c r="F81" i="28"/>
  <c r="G81" i="28"/>
  <c r="H81" i="28"/>
  <c r="D82" i="28"/>
  <c r="E82" i="28"/>
  <c r="F82" i="28"/>
  <c r="G82" i="28"/>
  <c r="H82" i="28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73" i="28"/>
  <c r="C87" i="28"/>
  <c r="H1" i="28"/>
  <c r="C25" i="28"/>
  <c r="H33" i="28"/>
  <c r="G33" i="28"/>
  <c r="F33" i="28"/>
  <c r="E33" i="28"/>
  <c r="D33" i="28"/>
  <c r="C33" i="28"/>
  <c r="D11" i="20"/>
  <c r="E11" i="20"/>
  <c r="F11" i="20"/>
  <c r="G11" i="20"/>
  <c r="H11" i="20"/>
  <c r="C11" i="20"/>
  <c r="C100" i="7"/>
  <c r="C101" i="7"/>
  <c r="C99" i="7"/>
  <c r="C72" i="7"/>
  <c r="C71" i="7"/>
  <c r="D46" i="4"/>
  <c r="E46" i="4"/>
  <c r="F46" i="4"/>
  <c r="G46" i="4"/>
  <c r="H46" i="4"/>
  <c r="C45" i="4"/>
  <c r="D45" i="4"/>
  <c r="E45" i="4"/>
  <c r="F45" i="4"/>
  <c r="G45" i="4"/>
  <c r="H45" i="4"/>
  <c r="C31" i="4"/>
  <c r="D31" i="4"/>
  <c r="E31" i="4"/>
  <c r="F31" i="4"/>
  <c r="G31" i="4"/>
  <c r="H31" i="4"/>
  <c r="C28" i="4"/>
  <c r="D28" i="4"/>
  <c r="C26" i="4"/>
  <c r="D26" i="4"/>
  <c r="E26" i="4"/>
  <c r="F26" i="4"/>
  <c r="G26" i="4"/>
  <c r="H26" i="4"/>
  <c r="D27" i="2"/>
  <c r="E15" i="20"/>
  <c r="E27" i="2"/>
  <c r="F15" i="20"/>
  <c r="F27" i="2"/>
  <c r="G15" i="20"/>
  <c r="G27" i="2"/>
  <c r="H15" i="20"/>
  <c r="C71" i="25"/>
  <c r="B146" i="25"/>
  <c r="B153" i="25"/>
  <c r="C73" i="25"/>
  <c r="B160" i="25"/>
  <c r="B139" i="25"/>
  <c r="D141" i="25" s="1"/>
  <c r="E141" i="25" s="1"/>
  <c r="F141" i="25" s="1"/>
  <c r="G141" i="25" s="1"/>
  <c r="H141" i="25" s="1"/>
  <c r="B116" i="25"/>
  <c r="D118" i="25"/>
  <c r="B109" i="25"/>
  <c r="B102" i="25"/>
  <c r="F106" i="25"/>
  <c r="B95" i="25"/>
  <c r="G100" i="25"/>
  <c r="H100" i="25"/>
  <c r="B86" i="25"/>
  <c r="C52" i="25"/>
  <c r="D52" i="25"/>
  <c r="E52" i="25"/>
  <c r="F52" i="25"/>
  <c r="G52" i="25"/>
  <c r="H52" i="25"/>
  <c r="C51" i="25"/>
  <c r="C50" i="25"/>
  <c r="C49" i="25"/>
  <c r="D49" i="25"/>
  <c r="C53" i="25"/>
  <c r="D53" i="25"/>
  <c r="E53" i="25"/>
  <c r="F53" i="25"/>
  <c r="G53" i="25"/>
  <c r="H53" i="25"/>
  <c r="C41" i="25"/>
  <c r="D41" i="25"/>
  <c r="C42" i="25"/>
  <c r="C43" i="25"/>
  <c r="D43" i="25"/>
  <c r="E43" i="25"/>
  <c r="F43" i="25"/>
  <c r="G43" i="25"/>
  <c r="H43" i="25"/>
  <c r="C44" i="25"/>
  <c r="C45" i="25"/>
  <c r="D45" i="25"/>
  <c r="E45" i="25"/>
  <c r="F45" i="25"/>
  <c r="G45" i="25"/>
  <c r="H45" i="25"/>
  <c r="C46" i="25"/>
  <c r="D46" i="25"/>
  <c r="E46" i="25"/>
  <c r="F46" i="25"/>
  <c r="G46" i="25"/>
  <c r="H46" i="25"/>
  <c r="C40" i="25"/>
  <c r="D40" i="25"/>
  <c r="E40" i="25"/>
  <c r="C35" i="25"/>
  <c r="D35" i="25"/>
  <c r="C36" i="25"/>
  <c r="C37" i="25"/>
  <c r="D37" i="25"/>
  <c r="E37" i="25"/>
  <c r="F37" i="25"/>
  <c r="G37" i="25"/>
  <c r="H37" i="25"/>
  <c r="E93" i="7"/>
  <c r="F93" i="7"/>
  <c r="G93" i="7"/>
  <c r="H93" i="7"/>
  <c r="I93" i="7"/>
  <c r="D93" i="7"/>
  <c r="G13" i="6"/>
  <c r="H13" i="6"/>
  <c r="G15" i="6"/>
  <c r="H15" i="6"/>
  <c r="I15" i="6"/>
  <c r="J15" i="6"/>
  <c r="G16" i="6"/>
  <c r="H16" i="6"/>
  <c r="I16" i="6"/>
  <c r="J16" i="6"/>
  <c r="K16" i="6"/>
  <c r="G17" i="6"/>
  <c r="H17" i="6"/>
  <c r="I17" i="6"/>
  <c r="J17" i="6"/>
  <c r="K17" i="6"/>
  <c r="G18" i="6"/>
  <c r="G20" i="6"/>
  <c r="H20" i="6"/>
  <c r="I20" i="6"/>
  <c r="J20" i="6"/>
  <c r="K20" i="6"/>
  <c r="G22" i="6"/>
  <c r="H22" i="6"/>
  <c r="I22" i="6"/>
  <c r="J22" i="6"/>
  <c r="K22" i="6"/>
  <c r="G23" i="6"/>
  <c r="H23" i="6"/>
  <c r="I23" i="6"/>
  <c r="J23" i="6"/>
  <c r="K23" i="6"/>
  <c r="G24" i="6"/>
  <c r="H24" i="6"/>
  <c r="I24" i="6"/>
  <c r="J24" i="6"/>
  <c r="K24" i="6"/>
  <c r="G25" i="6"/>
  <c r="H25" i="6"/>
  <c r="I25" i="6"/>
  <c r="J25" i="6"/>
  <c r="K25" i="6"/>
  <c r="G27" i="6"/>
  <c r="H27" i="6"/>
  <c r="I27" i="6"/>
  <c r="J27" i="6"/>
  <c r="K27" i="6"/>
  <c r="G28" i="6"/>
  <c r="H28" i="6"/>
  <c r="I28" i="6"/>
  <c r="J28" i="6"/>
  <c r="K28" i="6"/>
  <c r="G29" i="6"/>
  <c r="H29" i="6"/>
  <c r="I29" i="6"/>
  <c r="G31" i="6"/>
  <c r="H31" i="6"/>
  <c r="I31" i="6"/>
  <c r="J31" i="6"/>
  <c r="K31" i="6"/>
  <c r="G33" i="6"/>
  <c r="H33" i="6"/>
  <c r="I33" i="6"/>
  <c r="J33" i="6"/>
  <c r="K33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39" i="6"/>
  <c r="H39" i="6"/>
  <c r="I39" i="6"/>
  <c r="J39" i="6"/>
  <c r="K39" i="6"/>
  <c r="G40" i="6"/>
  <c r="H40" i="6"/>
  <c r="I40" i="6"/>
  <c r="J40" i="6"/>
  <c r="K40" i="6"/>
  <c r="G41" i="6"/>
  <c r="H41" i="6"/>
  <c r="I41" i="6"/>
  <c r="J41" i="6"/>
  <c r="K41" i="6"/>
  <c r="G42" i="6"/>
  <c r="J29" i="6"/>
  <c r="K29" i="6"/>
  <c r="F13" i="6"/>
  <c r="F15" i="6"/>
  <c r="F16" i="6"/>
  <c r="F17" i="6"/>
  <c r="F18" i="6"/>
  <c r="F20" i="6"/>
  <c r="F22" i="6"/>
  <c r="F23" i="6"/>
  <c r="F24" i="6"/>
  <c r="F25" i="6"/>
  <c r="F27" i="6"/>
  <c r="F28" i="6"/>
  <c r="F29" i="6"/>
  <c r="F31" i="6"/>
  <c r="F32" i="6"/>
  <c r="F33" i="6"/>
  <c r="F35" i="6"/>
  <c r="F36" i="6"/>
  <c r="F37" i="6"/>
  <c r="F38" i="6"/>
  <c r="F40" i="6"/>
  <c r="F41" i="6"/>
  <c r="F42" i="6"/>
  <c r="D28" i="25"/>
  <c r="D29" i="25"/>
  <c r="D19" i="20"/>
  <c r="E12" i="25"/>
  <c r="E21" i="25"/>
  <c r="E28" i="25"/>
  <c r="E29" i="25"/>
  <c r="E19" i="20"/>
  <c r="F12" i="25"/>
  <c r="F21" i="25"/>
  <c r="F28" i="25"/>
  <c r="G12" i="25"/>
  <c r="G21" i="25"/>
  <c r="G28" i="25"/>
  <c r="G29" i="25" s="1"/>
  <c r="H12" i="25"/>
  <c r="H21" i="25"/>
  <c r="H28" i="25"/>
  <c r="C12" i="25"/>
  <c r="C21" i="25"/>
  <c r="C28" i="25"/>
  <c r="E43" i="7"/>
  <c r="E57" i="7"/>
  <c r="E44" i="7"/>
  <c r="E58" i="7"/>
  <c r="E45" i="7"/>
  <c r="F45" i="7"/>
  <c r="G45" i="7"/>
  <c r="E46" i="7"/>
  <c r="E60" i="7"/>
  <c r="E47" i="7"/>
  <c r="E48" i="7"/>
  <c r="E49" i="7"/>
  <c r="E50" i="7"/>
  <c r="E51" i="7"/>
  <c r="E65" i="7"/>
  <c r="E23" i="7"/>
  <c r="F23" i="7"/>
  <c r="G7" i="7"/>
  <c r="H7" i="7"/>
  <c r="I7" i="7"/>
  <c r="G23" i="7"/>
  <c r="G74" i="7"/>
  <c r="G92" i="7"/>
  <c r="H23" i="7"/>
  <c r="I23" i="7"/>
  <c r="D23" i="7"/>
  <c r="D46" i="1"/>
  <c r="C9" i="15"/>
  <c r="H67" i="9"/>
  <c r="B31" i="25"/>
  <c r="B72" i="1"/>
  <c r="B78" i="1"/>
  <c r="C13" i="12"/>
  <c r="B18" i="15"/>
  <c r="D9" i="3"/>
  <c r="D22" i="4"/>
  <c r="C27" i="2"/>
  <c r="D15" i="20"/>
  <c r="C10" i="20"/>
  <c r="D10" i="20"/>
  <c r="E10" i="20"/>
  <c r="F10" i="20"/>
  <c r="G10" i="20"/>
  <c r="H10" i="20"/>
  <c r="D12" i="20"/>
  <c r="E12" i="20"/>
  <c r="F12" i="20"/>
  <c r="G12" i="20"/>
  <c r="H12" i="20"/>
  <c r="C52" i="11"/>
  <c r="C33" i="1"/>
  <c r="C14" i="15"/>
  <c r="D40" i="9"/>
  <c r="D43" i="9"/>
  <c r="C14" i="12"/>
  <c r="C15" i="12"/>
  <c r="C66" i="1"/>
  <c r="C76" i="1"/>
  <c r="C54" i="1"/>
  <c r="C75" i="1"/>
  <c r="C77" i="1" s="1"/>
  <c r="D36" i="1"/>
  <c r="A15" i="15"/>
  <c r="A14" i="15"/>
  <c r="A12" i="15"/>
  <c r="A11" i="15"/>
  <c r="A10" i="15"/>
  <c r="A9" i="15"/>
  <c r="D62" i="1"/>
  <c r="E62" i="1"/>
  <c r="F62" i="1"/>
  <c r="G62" i="1"/>
  <c r="H62" i="1"/>
  <c r="D20" i="1"/>
  <c r="E20" i="1"/>
  <c r="F20" i="1"/>
  <c r="D18" i="1"/>
  <c r="E18" i="1"/>
  <c r="F17" i="1"/>
  <c r="F10" i="15" s="1"/>
  <c r="G18" i="1"/>
  <c r="H18" i="1"/>
  <c r="D22" i="1"/>
  <c r="D28" i="1"/>
  <c r="E28" i="1"/>
  <c r="D26" i="1"/>
  <c r="D40" i="1"/>
  <c r="D38" i="1"/>
  <c r="E38" i="1"/>
  <c r="F38" i="1"/>
  <c r="H38" i="1"/>
  <c r="D48" i="1"/>
  <c r="D50" i="1"/>
  <c r="E50" i="1"/>
  <c r="F50" i="1"/>
  <c r="G50" i="1"/>
  <c r="H50" i="1"/>
  <c r="D52" i="1"/>
  <c r="E52" i="1"/>
  <c r="F52" i="1"/>
  <c r="G52" i="1"/>
  <c r="H52" i="1"/>
  <c r="D58" i="1"/>
  <c r="E58" i="1"/>
  <c r="D60" i="1"/>
  <c r="E60" i="1"/>
  <c r="F60" i="1"/>
  <c r="D64" i="1"/>
  <c r="E64" i="1"/>
  <c r="F64" i="1"/>
  <c r="G64" i="1"/>
  <c r="H64" i="1"/>
  <c r="C17" i="1"/>
  <c r="C21" i="1"/>
  <c r="C11" i="15"/>
  <c r="C25" i="1"/>
  <c r="C12" i="15"/>
  <c r="C37" i="1"/>
  <c r="C41" i="1"/>
  <c r="C70" i="1"/>
  <c r="H2" i="25"/>
  <c r="H1" i="25"/>
  <c r="A41" i="7"/>
  <c r="A55" i="7"/>
  <c r="A51" i="7"/>
  <c r="A65" i="7"/>
  <c r="A50" i="7"/>
  <c r="A64" i="7"/>
  <c r="A49" i="7"/>
  <c r="A63" i="7"/>
  <c r="A48" i="7"/>
  <c r="A62" i="7"/>
  <c r="A47" i="7"/>
  <c r="A61" i="7"/>
  <c r="A46" i="7"/>
  <c r="A60" i="7"/>
  <c r="A45" i="7"/>
  <c r="A59" i="7"/>
  <c r="A44" i="7"/>
  <c r="A58" i="7"/>
  <c r="A43" i="7"/>
  <c r="A57" i="7"/>
  <c r="A42" i="7"/>
  <c r="A56" i="7"/>
  <c r="C7" i="20"/>
  <c r="C32" i="1"/>
  <c r="C45" i="1"/>
  <c r="H1" i="1"/>
  <c r="C53" i="9"/>
  <c r="C66" i="9"/>
  <c r="C79" i="9"/>
  <c r="C92" i="9"/>
  <c r="H1" i="20"/>
  <c r="H2" i="20"/>
  <c r="H1" i="18"/>
  <c r="H2" i="18"/>
  <c r="H1" i="15"/>
  <c r="H2" i="15"/>
  <c r="I1" i="11"/>
  <c r="G1" i="5"/>
  <c r="H2" i="3"/>
  <c r="H1" i="3"/>
  <c r="H2" i="4"/>
  <c r="H1" i="4"/>
  <c r="G2" i="2"/>
  <c r="G1" i="2"/>
  <c r="H2" i="9"/>
  <c r="H1" i="9"/>
  <c r="K2" i="6"/>
  <c r="K1" i="6"/>
  <c r="I2" i="7"/>
  <c r="I1" i="7"/>
  <c r="H2" i="1"/>
  <c r="H1" i="7"/>
  <c r="J1" i="6"/>
  <c r="F1" i="5"/>
  <c r="H1" i="11"/>
  <c r="E53" i="9"/>
  <c r="E56" i="9"/>
  <c r="E59" i="9"/>
  <c r="F66" i="9"/>
  <c r="F69" i="9"/>
  <c r="F72" i="9"/>
  <c r="G69" i="9"/>
  <c r="G79" i="9"/>
  <c r="G82" i="9"/>
  <c r="H92" i="9"/>
  <c r="C11" i="18"/>
  <c r="E11" i="18"/>
  <c r="H11" i="18"/>
  <c r="D11" i="18"/>
  <c r="F11" i="18"/>
  <c r="G11" i="18"/>
  <c r="H42" i="6"/>
  <c r="I42" i="6"/>
  <c r="J42" i="6"/>
  <c r="K42" i="6"/>
  <c r="H101" i="25"/>
  <c r="H166" i="25"/>
  <c r="E118" i="25"/>
  <c r="F134" i="25"/>
  <c r="G134" i="25"/>
  <c r="H134" i="25"/>
  <c r="E133" i="25"/>
  <c r="F133" i="25"/>
  <c r="G133" i="25"/>
  <c r="H133" i="25"/>
  <c r="G135" i="25"/>
  <c r="H135" i="25"/>
  <c r="E126" i="25"/>
  <c r="F126" i="25"/>
  <c r="G126" i="25"/>
  <c r="H126" i="25"/>
  <c r="F99" i="25"/>
  <c r="G99" i="25"/>
  <c r="H99" i="25"/>
  <c r="D81" i="25"/>
  <c r="E81" i="25"/>
  <c r="F83" i="25"/>
  <c r="G83" i="25"/>
  <c r="H83" i="25"/>
  <c r="C36" i="28"/>
  <c r="C54" i="28"/>
  <c r="F150" i="25"/>
  <c r="G150" i="25"/>
  <c r="H150" i="25"/>
  <c r="I13" i="6"/>
  <c r="J13" i="6"/>
  <c r="K13" i="6"/>
  <c r="G77" i="11"/>
  <c r="G78" i="11"/>
  <c r="F77" i="11"/>
  <c r="F78" i="11"/>
  <c r="E77" i="11"/>
  <c r="E78" i="11"/>
  <c r="D77" i="11"/>
  <c r="D78" i="11"/>
  <c r="C77" i="11"/>
  <c r="C78" i="11"/>
  <c r="B77" i="11"/>
  <c r="B78" i="11"/>
  <c r="B7" i="29"/>
  <c r="D6" i="7"/>
  <c r="D69" i="7"/>
  <c r="F113" i="25"/>
  <c r="G113" i="25"/>
  <c r="H113" i="25"/>
  <c r="G114" i="25"/>
  <c r="H114" i="25"/>
  <c r="D111" i="25"/>
  <c r="E111" i="25"/>
  <c r="F111" i="25"/>
  <c r="G111" i="25"/>
  <c r="H111" i="25"/>
  <c r="E112" i="25"/>
  <c r="F112" i="25"/>
  <c r="G112" i="25"/>
  <c r="H112" i="25"/>
  <c r="H115" i="25"/>
  <c r="E26" i="1"/>
  <c r="D25" i="1"/>
  <c r="D12" i="15"/>
  <c r="E89" i="25"/>
  <c r="F89" i="25"/>
  <c r="G89" i="25"/>
  <c r="H89" i="25"/>
  <c r="H93" i="9"/>
  <c r="F41" i="9"/>
  <c r="F67" i="9"/>
  <c r="G67" i="9"/>
  <c r="D31" i="25"/>
  <c r="F44" i="7"/>
  <c r="F42" i="7"/>
  <c r="G42" i="7"/>
  <c r="G56" i="7"/>
  <c r="E59" i="7"/>
  <c r="F49" i="7"/>
  <c r="G49" i="7"/>
  <c r="E63" i="7"/>
  <c r="F46" i="7"/>
  <c r="G46" i="7"/>
  <c r="D13" i="1"/>
  <c r="D9" i="15"/>
  <c r="F51" i="7"/>
  <c r="H108" i="25"/>
  <c r="E105" i="25"/>
  <c r="F105" i="25"/>
  <c r="G105" i="25"/>
  <c r="H105" i="25"/>
  <c r="D104" i="25"/>
  <c r="E104" i="25"/>
  <c r="G106" i="25"/>
  <c r="H106" i="25"/>
  <c r="G128" i="25"/>
  <c r="H128" i="25"/>
  <c r="F127" i="25"/>
  <c r="G127" i="25"/>
  <c r="H127" i="25"/>
  <c r="D162" i="25"/>
  <c r="E162" i="25"/>
  <c r="F162" i="25"/>
  <c r="G162" i="25"/>
  <c r="H162" i="25"/>
  <c r="D125" i="25"/>
  <c r="E125" i="25"/>
  <c r="C15" i="15"/>
  <c r="C13" i="15"/>
  <c r="G107" i="25"/>
  <c r="H107" i="25"/>
  <c r="H129" i="25"/>
  <c r="E36" i="1"/>
  <c r="F36" i="1" s="1"/>
  <c r="H18" i="6"/>
  <c r="I18" i="6"/>
  <c r="J18" i="6"/>
  <c r="K18" i="6"/>
  <c r="G151" i="25"/>
  <c r="H151" i="25"/>
  <c r="H152" i="25"/>
  <c r="E48" i="1"/>
  <c r="F48" i="1"/>
  <c r="E82" i="25"/>
  <c r="F82" i="25"/>
  <c r="G82" i="25"/>
  <c r="H82" i="25"/>
  <c r="G84" i="25"/>
  <c r="H84" i="25"/>
  <c r="H85" i="25"/>
  <c r="H136" i="25"/>
  <c r="D132" i="25"/>
  <c r="E132" i="25"/>
  <c r="B6" i="5"/>
  <c r="B25" i="5"/>
  <c r="C7" i="18"/>
  <c r="F12" i="6"/>
  <c r="C12" i="1"/>
  <c r="C7" i="9"/>
  <c r="C13" i="9"/>
  <c r="A26" i="9"/>
  <c r="C7" i="25"/>
  <c r="C57" i="1"/>
  <c r="B7" i="2"/>
  <c r="C7" i="15"/>
  <c r="C47" i="11"/>
  <c r="C27" i="11"/>
  <c r="B68" i="11"/>
  <c r="C68" i="11"/>
  <c r="D68" i="11"/>
  <c r="E68" i="11"/>
  <c r="F68" i="11"/>
  <c r="G68" i="11"/>
  <c r="K15" i="6"/>
  <c r="G36" i="1"/>
  <c r="D11" i="7"/>
  <c r="D40" i="7"/>
  <c r="D54" i="7"/>
  <c r="D86" i="7"/>
  <c r="D97" i="7"/>
  <c r="E9" i="3"/>
  <c r="F9" i="3"/>
  <c r="G80" i="9"/>
  <c r="G81" i="9"/>
  <c r="H80" i="9"/>
  <c r="G60" i="1"/>
  <c r="H145" i="25"/>
  <c r="H122" i="25"/>
  <c r="D17" i="1"/>
  <c r="D10" i="15"/>
  <c r="F60" i="7"/>
  <c r="C22" i="4"/>
  <c r="C46" i="4"/>
  <c r="B27" i="2"/>
  <c r="C15" i="20"/>
  <c r="H48" i="1"/>
  <c r="C28" i="9"/>
  <c r="F7" i="6"/>
  <c r="C7" i="4"/>
  <c r="D8" i="1"/>
  <c r="E28" i="9"/>
  <c r="C77" i="25"/>
  <c r="D77" i="25"/>
  <c r="E77" i="25"/>
  <c r="F77" i="25"/>
  <c r="G77" i="25"/>
  <c r="H77" i="25"/>
  <c r="F59" i="7"/>
  <c r="D41" i="9"/>
  <c r="D42" i="9"/>
  <c r="D44" i="9"/>
  <c r="C7" i="11"/>
  <c r="D45" i="1"/>
  <c r="D7" i="18"/>
  <c r="D7" i="15"/>
  <c r="D7" i="4"/>
  <c r="D27" i="11"/>
  <c r="D7" i="11"/>
  <c r="C7" i="2"/>
  <c r="D12" i="1"/>
  <c r="G7" i="6"/>
  <c r="D7" i="9"/>
  <c r="D13" i="9"/>
  <c r="A39" i="9"/>
  <c r="E6" i="7"/>
  <c r="D7" i="3"/>
  <c r="C12" i="20"/>
  <c r="C27" i="9"/>
  <c r="C30" i="9"/>
  <c r="D30" i="9"/>
  <c r="D104" i="9"/>
  <c r="D23" i="20"/>
  <c r="C78" i="1"/>
  <c r="C147" i="25"/>
  <c r="D147" i="25"/>
  <c r="E147" i="25"/>
  <c r="F147" i="25"/>
  <c r="G147" i="25"/>
  <c r="C29" i="25"/>
  <c r="C19" i="20"/>
  <c r="D19" i="18"/>
  <c r="E19" i="18"/>
  <c r="B10" i="5"/>
  <c r="B21" i="5"/>
  <c r="B16" i="5"/>
  <c r="F68" i="9"/>
  <c r="F70" i="9"/>
  <c r="D66" i="7"/>
  <c r="C80" i="25"/>
  <c r="C117" i="25"/>
  <c r="D117" i="25"/>
  <c r="C124" i="25"/>
  <c r="C96" i="25"/>
  <c r="C95" i="25"/>
  <c r="C103" i="25"/>
  <c r="C110" i="25"/>
  <c r="D110" i="25"/>
  <c r="C154" i="25"/>
  <c r="G44" i="7"/>
  <c r="G58" i="7"/>
  <c r="F58" i="7"/>
  <c r="G54" i="9"/>
  <c r="H54" i="9"/>
  <c r="F54" i="9"/>
  <c r="E54" i="9"/>
  <c r="E55" i="9"/>
  <c r="F47" i="7"/>
  <c r="E61" i="7"/>
  <c r="F74" i="7"/>
  <c r="F92" i="7"/>
  <c r="D74" i="7"/>
  <c r="D92" i="7"/>
  <c r="H74" i="7"/>
  <c r="H92" i="7"/>
  <c r="E74" i="7"/>
  <c r="E92" i="7"/>
  <c r="I74" i="7"/>
  <c r="I92" i="7"/>
  <c r="F50" i="7"/>
  <c r="G50" i="7"/>
  <c r="G64" i="7"/>
  <c r="E64" i="7"/>
  <c r="C171" i="25"/>
  <c r="D171" i="25"/>
  <c r="E171" i="25"/>
  <c r="F171" i="25"/>
  <c r="G171" i="25"/>
  <c r="H171" i="25"/>
  <c r="C178" i="25"/>
  <c r="D178" i="25"/>
  <c r="E178" i="25"/>
  <c r="F178" i="25"/>
  <c r="G178" i="25"/>
  <c r="H178" i="25"/>
  <c r="C33" i="25"/>
  <c r="G28" i="9"/>
  <c r="D28" i="9"/>
  <c r="H28" i="9"/>
  <c r="F28" i="9"/>
  <c r="D42" i="25"/>
  <c r="E42" i="25"/>
  <c r="E156" i="25"/>
  <c r="F156" i="25"/>
  <c r="G156" i="25"/>
  <c r="H156" i="25"/>
  <c r="F157" i="25"/>
  <c r="G157" i="25"/>
  <c r="H157" i="25"/>
  <c r="D155" i="25"/>
  <c r="H159" i="25"/>
  <c r="G158" i="25"/>
  <c r="H158" i="25"/>
  <c r="F65" i="7"/>
  <c r="G51" i="7"/>
  <c r="G31" i="25"/>
  <c r="C31" i="25"/>
  <c r="D50" i="25"/>
  <c r="G144" i="25"/>
  <c r="H144" i="25"/>
  <c r="E142" i="25"/>
  <c r="F142" i="25"/>
  <c r="G142" i="25"/>
  <c r="H142" i="25"/>
  <c r="F143" i="25"/>
  <c r="G143" i="25"/>
  <c r="H143" i="25"/>
  <c r="F63" i="7"/>
  <c r="G41" i="9"/>
  <c r="H41" i="9"/>
  <c r="E41" i="9"/>
  <c r="F120" i="25"/>
  <c r="G121" i="25"/>
  <c r="H121" i="25"/>
  <c r="E119" i="25"/>
  <c r="F119" i="25"/>
  <c r="G119" i="25"/>
  <c r="H119" i="25"/>
  <c r="H44" i="7"/>
  <c r="I44" i="7"/>
  <c r="I58" i="7"/>
  <c r="D96" i="25"/>
  <c r="E96" i="25"/>
  <c r="C116" i="25"/>
  <c r="F64" i="7"/>
  <c r="C109" i="25"/>
  <c r="G63" i="7"/>
  <c r="H49" i="7"/>
  <c r="D154" i="25"/>
  <c r="E154" i="25"/>
  <c r="C153" i="25"/>
  <c r="H50" i="7"/>
  <c r="H58" i="7"/>
  <c r="E117" i="25"/>
  <c r="F117" i="25"/>
  <c r="G117" i="25"/>
  <c r="D116" i="25"/>
  <c r="H64" i="7"/>
  <c r="I50" i="7"/>
  <c r="I64" i="7"/>
  <c r="E49" i="25"/>
  <c r="F49" i="25"/>
  <c r="E41" i="25"/>
  <c r="F41" i="25"/>
  <c r="G41" i="25"/>
  <c r="H41" i="25"/>
  <c r="H46" i="7"/>
  <c r="G60" i="7"/>
  <c r="H42" i="7"/>
  <c r="H45" i="7"/>
  <c r="G59" i="7"/>
  <c r="E35" i="25"/>
  <c r="D97" i="25"/>
  <c r="E98" i="25"/>
  <c r="F98" i="25"/>
  <c r="G98" i="25"/>
  <c r="H98" i="25"/>
  <c r="I46" i="7"/>
  <c r="I60" i="7"/>
  <c r="H60" i="7"/>
  <c r="I45" i="7"/>
  <c r="I59" i="7"/>
  <c r="H59" i="7"/>
  <c r="F35" i="25"/>
  <c r="F132" i="25"/>
  <c r="G132" i="25"/>
  <c r="H132" i="25"/>
  <c r="F154" i="25"/>
  <c r="G154" i="25"/>
  <c r="H154" i="25"/>
  <c r="F81" i="25"/>
  <c r="G81" i="25"/>
  <c r="H81" i="25"/>
  <c r="F118" i="25"/>
  <c r="G118" i="25"/>
  <c r="E116" i="25"/>
  <c r="F104" i="25"/>
  <c r="G104" i="25"/>
  <c r="H104" i="25"/>
  <c r="F125" i="25"/>
  <c r="G125" i="25"/>
  <c r="H125" i="25"/>
  <c r="H118" i="25"/>
  <c r="H147" i="25"/>
  <c r="E22" i="4"/>
  <c r="F22" i="4"/>
  <c r="G9" i="3"/>
  <c r="C19" i="18"/>
  <c r="D46" i="9"/>
  <c r="F42" i="25"/>
  <c r="E17" i="1"/>
  <c r="E10" i="15"/>
  <c r="H36" i="1"/>
  <c r="F24" i="1"/>
  <c r="F16" i="1"/>
  <c r="F28" i="1"/>
  <c r="C104" i="9"/>
  <c r="C23" i="20"/>
  <c r="C33" i="9"/>
  <c r="D27" i="9"/>
  <c r="F71" i="9"/>
  <c r="C29" i="9"/>
  <c r="C40" i="9"/>
  <c r="G83" i="9"/>
  <c r="E57" i="9"/>
  <c r="H9" i="3"/>
  <c r="G22" i="4"/>
  <c r="E40" i="9"/>
  <c r="E43" i="9"/>
  <c r="G42" i="25"/>
  <c r="G20" i="1"/>
  <c r="G24" i="1"/>
  <c r="G28" i="1"/>
  <c r="G16" i="1"/>
  <c r="H16" i="1" s="1"/>
  <c r="C31" i="9"/>
  <c r="G66" i="9"/>
  <c r="G68" i="9"/>
  <c r="C101" i="9"/>
  <c r="C39" i="4"/>
  <c r="C37" i="4"/>
  <c r="E46" i="9"/>
  <c r="F40" i="9"/>
  <c r="F42" i="9"/>
  <c r="E42" i="9"/>
  <c r="H42" i="25"/>
  <c r="H24" i="1"/>
  <c r="H28" i="1"/>
  <c r="G72" i="9"/>
  <c r="H69" i="9"/>
  <c r="F43" i="9"/>
  <c r="E44" i="9"/>
  <c r="H66" i="9"/>
  <c r="H72" i="9" s="1"/>
  <c r="H68" i="9"/>
  <c r="F46" i="9"/>
  <c r="H70" i="9"/>
  <c r="G43" i="9"/>
  <c r="G40" i="9"/>
  <c r="D44" i="25"/>
  <c r="C47" i="25"/>
  <c r="D131" i="25"/>
  <c r="C130" i="25"/>
  <c r="F61" i="7"/>
  <c r="G47" i="7"/>
  <c r="F44" i="9"/>
  <c r="F45" i="9"/>
  <c r="G35" i="25"/>
  <c r="H71" i="9"/>
  <c r="G70" i="9"/>
  <c r="G71" i="9" s="1"/>
  <c r="H22" i="4"/>
  <c r="E50" i="25"/>
  <c r="F50" i="25"/>
  <c r="G50" i="25"/>
  <c r="H50" i="25"/>
  <c r="D73" i="7"/>
  <c r="D91" i="7"/>
  <c r="F96" i="25"/>
  <c r="E58" i="9"/>
  <c r="D36" i="25"/>
  <c r="C38" i="25"/>
  <c r="D71" i="7"/>
  <c r="D72" i="7"/>
  <c r="E97" i="25"/>
  <c r="F97" i="25"/>
  <c r="G97" i="25"/>
  <c r="H97" i="25"/>
  <c r="D95" i="25"/>
  <c r="H56" i="7"/>
  <c r="I42" i="7"/>
  <c r="I56" i="7"/>
  <c r="F26" i="1"/>
  <c r="E25" i="1"/>
  <c r="E12" i="15"/>
  <c r="C10" i="15"/>
  <c r="C8" i="15"/>
  <c r="C29" i="1"/>
  <c r="C69" i="1"/>
  <c r="E40" i="1"/>
  <c r="D37" i="1"/>
  <c r="D15" i="15"/>
  <c r="E22" i="1"/>
  <c r="D21" i="1"/>
  <c r="E46" i="1"/>
  <c r="D54" i="1"/>
  <c r="D75" i="1"/>
  <c r="G19" i="20"/>
  <c r="G19" i="18"/>
  <c r="G17" i="1"/>
  <c r="G10" i="15"/>
  <c r="H20" i="1"/>
  <c r="H17" i="1"/>
  <c r="H10" i="15"/>
  <c r="E155" i="25"/>
  <c r="D153" i="25"/>
  <c r="D80" i="25"/>
  <c r="E80" i="25"/>
  <c r="C79" i="25"/>
  <c r="D89" i="7"/>
  <c r="F43" i="7"/>
  <c r="H117" i="25"/>
  <c r="E110" i="25"/>
  <c r="D109" i="25"/>
  <c r="C123" i="25"/>
  <c r="D124" i="25"/>
  <c r="F56" i="7"/>
  <c r="D66" i="1"/>
  <c r="D76" i="1"/>
  <c r="G49" i="25"/>
  <c r="H63" i="7"/>
  <c r="I49" i="7"/>
  <c r="I63" i="7"/>
  <c r="G120" i="25"/>
  <c r="H120" i="25"/>
  <c r="F116" i="25"/>
  <c r="E11" i="7"/>
  <c r="E40" i="7"/>
  <c r="E54" i="7"/>
  <c r="E69" i="7"/>
  <c r="E86" i="7"/>
  <c r="E97" i="7"/>
  <c r="F56" i="9"/>
  <c r="F53" i="9"/>
  <c r="F40" i="25"/>
  <c r="G14" i="1"/>
  <c r="E13" i="1"/>
  <c r="D33" i="1"/>
  <c r="C87" i="25"/>
  <c r="F90" i="25"/>
  <c r="G90" i="25"/>
  <c r="H90" i="25"/>
  <c r="D88" i="25"/>
  <c r="E88" i="25"/>
  <c r="F88" i="25"/>
  <c r="G88" i="25"/>
  <c r="H88" i="25"/>
  <c r="G91" i="25"/>
  <c r="H91" i="25"/>
  <c r="H92" i="25"/>
  <c r="G65" i="7"/>
  <c r="H51" i="7"/>
  <c r="D103" i="25"/>
  <c r="C102" i="25"/>
  <c r="C137" i="25"/>
  <c r="E66" i="1"/>
  <c r="E76" i="1"/>
  <c r="F58" i="1"/>
  <c r="D52" i="11"/>
  <c r="E52" i="11"/>
  <c r="C53" i="11"/>
  <c r="C11" i="11"/>
  <c r="F31" i="25"/>
  <c r="E31" i="25"/>
  <c r="H31" i="25"/>
  <c r="E62" i="7"/>
  <c r="E89" i="7"/>
  <c r="E100" i="7"/>
  <c r="F48" i="7"/>
  <c r="D45" i="9"/>
  <c r="D57" i="1"/>
  <c r="D7" i="25"/>
  <c r="D33" i="25"/>
  <c r="G12" i="6"/>
  <c r="D47" i="11"/>
  <c r="E8" i="1"/>
  <c r="H12" i="6"/>
  <c r="D7" i="20"/>
  <c r="D32" i="1"/>
  <c r="C6" i="5"/>
  <c r="C25" i="5"/>
  <c r="C7" i="29"/>
  <c r="H95" i="9"/>
  <c r="H98" i="9"/>
  <c r="H94" i="9"/>
  <c r="D51" i="25"/>
  <c r="E51" i="25"/>
  <c r="F51" i="25"/>
  <c r="G51" i="25"/>
  <c r="H51" i="25"/>
  <c r="C54" i="25"/>
  <c r="F164" i="25"/>
  <c r="G164" i="25"/>
  <c r="H164" i="25"/>
  <c r="E163" i="25"/>
  <c r="F163" i="25"/>
  <c r="G163" i="25"/>
  <c r="H163" i="25"/>
  <c r="G165" i="25"/>
  <c r="H165" i="25"/>
  <c r="C161" i="25"/>
  <c r="F41" i="7"/>
  <c r="F55" i="7"/>
  <c r="E55" i="7"/>
  <c r="E71" i="7"/>
  <c r="G85" i="9"/>
  <c r="H29" i="25"/>
  <c r="C72" i="28"/>
  <c r="D25" i="28"/>
  <c r="E149" i="25"/>
  <c r="F149" i="25"/>
  <c r="G149" i="25"/>
  <c r="H149" i="25"/>
  <c r="D148" i="25"/>
  <c r="H87" i="28"/>
  <c r="C140" i="25"/>
  <c r="C173" i="25"/>
  <c r="F34" i="1"/>
  <c r="E33" i="1"/>
  <c r="F55" i="9"/>
  <c r="F59" i="9"/>
  <c r="G116" i="25"/>
  <c r="D29" i="1"/>
  <c r="D69" i="1"/>
  <c r="D11" i="15"/>
  <c r="D8" i="15"/>
  <c r="G96" i="25"/>
  <c r="F95" i="25"/>
  <c r="G61" i="7"/>
  <c r="H47" i="7"/>
  <c r="G46" i="9"/>
  <c r="G42" i="9"/>
  <c r="H19" i="18"/>
  <c r="H19" i="20"/>
  <c r="D161" i="25"/>
  <c r="C160" i="25"/>
  <c r="E32" i="1"/>
  <c r="E12" i="1"/>
  <c r="E7" i="4"/>
  <c r="D6" i="5"/>
  <c r="E7" i="25"/>
  <c r="E33" i="25"/>
  <c r="E47" i="11"/>
  <c r="E7" i="20"/>
  <c r="F8" i="1"/>
  <c r="F57" i="1"/>
  <c r="E27" i="11"/>
  <c r="E7" i="11"/>
  <c r="F6" i="7"/>
  <c r="E7" i="9"/>
  <c r="E13" i="9"/>
  <c r="A52" i="9"/>
  <c r="E7" i="15"/>
  <c r="E103" i="25"/>
  <c r="D102" i="25"/>
  <c r="E54" i="25"/>
  <c r="H82" i="9"/>
  <c r="H79" i="9"/>
  <c r="C16" i="5"/>
  <c r="C21" i="5"/>
  <c r="G58" i="1"/>
  <c r="F66" i="1"/>
  <c r="F76" i="1"/>
  <c r="I51" i="7"/>
  <c r="I65" i="7"/>
  <c r="H65" i="7"/>
  <c r="D87" i="25"/>
  <c r="C86" i="25"/>
  <c r="E72" i="7"/>
  <c r="E109" i="25"/>
  <c r="F110" i="25"/>
  <c r="F57" i="7"/>
  <c r="G43" i="7"/>
  <c r="F13" i="1"/>
  <c r="D77" i="1"/>
  <c r="D78" i="1"/>
  <c r="C55" i="25"/>
  <c r="H35" i="25"/>
  <c r="C180" i="25"/>
  <c r="C10" i="4"/>
  <c r="D140" i="25"/>
  <c r="D36" i="28"/>
  <c r="D54" i="28"/>
  <c r="D72" i="28"/>
  <c r="E25" i="28"/>
  <c r="F25" i="28"/>
  <c r="E66" i="7"/>
  <c r="E88" i="7"/>
  <c r="E99" i="7"/>
  <c r="H96" i="9"/>
  <c r="H97" i="9"/>
  <c r="G48" i="7"/>
  <c r="F62" i="7"/>
  <c r="F89" i="7" s="1"/>
  <c r="F100" i="7" s="1"/>
  <c r="D14" i="15"/>
  <c r="D13" i="15"/>
  <c r="D41" i="1"/>
  <c r="D70" i="1"/>
  <c r="G40" i="25"/>
  <c r="F54" i="25"/>
  <c r="E124" i="25"/>
  <c r="D123" i="25"/>
  <c r="H116" i="25"/>
  <c r="D100" i="7"/>
  <c r="E54" i="1"/>
  <c r="E75" i="1"/>
  <c r="F46" i="1"/>
  <c r="F40" i="1"/>
  <c r="E37" i="1"/>
  <c r="E15" i="15"/>
  <c r="G26" i="1"/>
  <c r="F25" i="1"/>
  <c r="F12" i="15"/>
  <c r="D90" i="7"/>
  <c r="D81" i="7"/>
  <c r="D83" i="7"/>
  <c r="E36" i="25"/>
  <c r="D38" i="25"/>
  <c r="E95" i="25"/>
  <c r="E44" i="25"/>
  <c r="D47" i="25"/>
  <c r="E9" i="15"/>
  <c r="H49" i="25"/>
  <c r="H54" i="25"/>
  <c r="G54" i="25"/>
  <c r="C93" i="25"/>
  <c r="F155" i="25"/>
  <c r="E153" i="25"/>
  <c r="C71" i="1"/>
  <c r="C72" i="1"/>
  <c r="C82" i="1"/>
  <c r="E148" i="25"/>
  <c r="D146" i="25"/>
  <c r="H14" i="1"/>
  <c r="H13" i="1"/>
  <c r="G13" i="1"/>
  <c r="D79" i="25"/>
  <c r="F22" i="1"/>
  <c r="E21" i="1"/>
  <c r="E11" i="15"/>
  <c r="E8" i="15" s="1"/>
  <c r="C18" i="15"/>
  <c r="C16" i="15"/>
  <c r="D54" i="25"/>
  <c r="D130" i="25"/>
  <c r="D137" i="25"/>
  <c r="E131" i="25"/>
  <c r="D173" i="25"/>
  <c r="F131" i="25"/>
  <c r="E130" i="25"/>
  <c r="F44" i="25"/>
  <c r="E47" i="25"/>
  <c r="F37" i="1"/>
  <c r="F15" i="15"/>
  <c r="G40" i="1"/>
  <c r="H40" i="25"/>
  <c r="E101" i="7"/>
  <c r="D31" i="3"/>
  <c r="F72" i="7"/>
  <c r="H81" i="9"/>
  <c r="H85" i="9"/>
  <c r="G22" i="1"/>
  <c r="F21" i="1"/>
  <c r="F11" i="15"/>
  <c r="G9" i="15"/>
  <c r="C172" i="25"/>
  <c r="E18" i="15"/>
  <c r="H26" i="1"/>
  <c r="H25" i="1"/>
  <c r="H12" i="15"/>
  <c r="G25" i="1"/>
  <c r="G12" i="15"/>
  <c r="E78" i="1"/>
  <c r="E77" i="1"/>
  <c r="E123" i="25"/>
  <c r="F124" i="25"/>
  <c r="E36" i="28"/>
  <c r="E54" i="28"/>
  <c r="F29" i="1"/>
  <c r="F69" i="1"/>
  <c r="F9" i="15"/>
  <c r="F8" i="15"/>
  <c r="F7" i="9"/>
  <c r="F13" i="9"/>
  <c r="A65" i="9"/>
  <c r="F7" i="15"/>
  <c r="F12" i="1"/>
  <c r="E7" i="29"/>
  <c r="I12" i="6"/>
  <c r="G8" i="1"/>
  <c r="G7" i="3"/>
  <c r="F7" i="25"/>
  <c r="F33" i="25"/>
  <c r="F47" i="11"/>
  <c r="F7" i="4"/>
  <c r="E6" i="5"/>
  <c r="E16" i="5"/>
  <c r="G6" i="7"/>
  <c r="F7" i="3"/>
  <c r="F7" i="18"/>
  <c r="H96" i="25"/>
  <c r="H95" i="25"/>
  <c r="G95" i="25"/>
  <c r="G56" i="9"/>
  <c r="G53" i="9"/>
  <c r="C11" i="3"/>
  <c r="C16" i="4"/>
  <c r="B13" i="2"/>
  <c r="B10" i="29"/>
  <c r="C20" i="15"/>
  <c r="H9" i="15"/>
  <c r="E19" i="6"/>
  <c r="C80" i="1"/>
  <c r="D180" i="25"/>
  <c r="D10" i="4"/>
  <c r="G57" i="7"/>
  <c r="H43" i="7"/>
  <c r="E87" i="25"/>
  <c r="D86" i="25"/>
  <c r="D93" i="25" s="1"/>
  <c r="H58" i="1"/>
  <c r="H66" i="1"/>
  <c r="H76" i="1"/>
  <c r="G66" i="1"/>
  <c r="G76" i="1"/>
  <c r="F69" i="7"/>
  <c r="F11" i="7"/>
  <c r="F40" i="7"/>
  <c r="F54" i="7"/>
  <c r="F86" i="7"/>
  <c r="F97" i="7"/>
  <c r="E161" i="25"/>
  <c r="D160" i="25"/>
  <c r="G44" i="9"/>
  <c r="G45" i="9"/>
  <c r="H61" i="7"/>
  <c r="I47" i="7"/>
  <c r="I61" i="7"/>
  <c r="D16" i="15"/>
  <c r="D18" i="15"/>
  <c r="F57" i="9"/>
  <c r="F58" i="9"/>
  <c r="D55" i="25"/>
  <c r="E102" i="25"/>
  <c r="E137" i="25"/>
  <c r="F103" i="25"/>
  <c r="H43" i="9"/>
  <c r="H40" i="9"/>
  <c r="D71" i="1"/>
  <c r="D80" i="1"/>
  <c r="D72" i="1"/>
  <c r="D82" i="1"/>
  <c r="E41" i="1"/>
  <c r="E70" i="1"/>
  <c r="E14" i="15"/>
  <c r="E13" i="15"/>
  <c r="E16" i="15"/>
  <c r="F148" i="25"/>
  <c r="E146" i="25"/>
  <c r="G155" i="25"/>
  <c r="F153" i="25"/>
  <c r="E29" i="1"/>
  <c r="E69" i="1"/>
  <c r="F36" i="25"/>
  <c r="G36" i="25"/>
  <c r="E38" i="25"/>
  <c r="E55" i="25"/>
  <c r="G46" i="1"/>
  <c r="F54" i="1"/>
  <c r="F75" i="1"/>
  <c r="G62" i="7"/>
  <c r="H48" i="7"/>
  <c r="E73" i="7"/>
  <c r="E91" i="7"/>
  <c r="E140" i="25"/>
  <c r="D139" i="25"/>
  <c r="F109" i="25"/>
  <c r="G110" i="25"/>
  <c r="D25" i="5"/>
  <c r="D16" i="5"/>
  <c r="D10" i="5"/>
  <c r="D21" i="5"/>
  <c r="G34" i="1"/>
  <c r="F33" i="1"/>
  <c r="E173" i="25"/>
  <c r="E20" i="15"/>
  <c r="E11" i="3"/>
  <c r="E16" i="4"/>
  <c r="D13" i="2"/>
  <c r="D10" i="29"/>
  <c r="F140" i="25"/>
  <c r="E139" i="25"/>
  <c r="E10" i="5"/>
  <c r="E21" i="5"/>
  <c r="F18" i="15"/>
  <c r="H83" i="9"/>
  <c r="H84" i="9"/>
  <c r="G44" i="25"/>
  <c r="F47" i="25"/>
  <c r="G109" i="25"/>
  <c r="H110" i="25"/>
  <c r="H109" i="25"/>
  <c r="F78" i="1"/>
  <c r="F77" i="1"/>
  <c r="G148" i="25"/>
  <c r="F146" i="25"/>
  <c r="H42" i="9"/>
  <c r="H46" i="9"/>
  <c r="F41" i="1"/>
  <c r="F70" i="1"/>
  <c r="F14" i="15"/>
  <c r="G54" i="1"/>
  <c r="G75" i="1"/>
  <c r="H46" i="1"/>
  <c r="H54" i="1"/>
  <c r="H75" i="1"/>
  <c r="G72" i="7"/>
  <c r="G89" i="7"/>
  <c r="G100" i="7"/>
  <c r="F19" i="6"/>
  <c r="G19" i="6"/>
  <c r="F7" i="2"/>
  <c r="H6" i="7"/>
  <c r="H69" i="7"/>
  <c r="F6" i="5"/>
  <c r="F21" i="5"/>
  <c r="F7" i="29"/>
  <c r="G32" i="1"/>
  <c r="G7" i="15"/>
  <c r="G7" i="20"/>
  <c r="J7" i="6"/>
  <c r="H8" i="1"/>
  <c r="H7" i="18"/>
  <c r="G21" i="1"/>
  <c r="H22" i="1"/>
  <c r="H21" i="1"/>
  <c r="F13" i="15"/>
  <c r="F16" i="15"/>
  <c r="H34" i="1"/>
  <c r="H33" i="1"/>
  <c r="G33" i="1"/>
  <c r="D167" i="25"/>
  <c r="H62" i="7"/>
  <c r="I48" i="7"/>
  <c r="I62" i="7"/>
  <c r="H155" i="25"/>
  <c r="H153" i="25"/>
  <c r="G153" i="25"/>
  <c r="F102" i="25"/>
  <c r="G103" i="25"/>
  <c r="C13" i="2"/>
  <c r="C10" i="29"/>
  <c r="D20" i="15"/>
  <c r="D11" i="3"/>
  <c r="D16" i="4"/>
  <c r="G59" i="9"/>
  <c r="G55" i="9"/>
  <c r="G11" i="7"/>
  <c r="G40" i="7"/>
  <c r="G54" i="7"/>
  <c r="G69" i="7"/>
  <c r="G86" i="7"/>
  <c r="G97" i="7"/>
  <c r="G124" i="25"/>
  <c r="F123" i="25"/>
  <c r="E180" i="25"/>
  <c r="E10" i="4"/>
  <c r="F130" i="25"/>
  <c r="G131" i="25"/>
  <c r="F38" i="25"/>
  <c r="C8" i="2"/>
  <c r="E86" i="25"/>
  <c r="F87" i="25"/>
  <c r="E72" i="1"/>
  <c r="E82" i="1"/>
  <c r="E71" i="1"/>
  <c r="E80" i="1"/>
  <c r="E84" i="1" s="1"/>
  <c r="E160" i="25"/>
  <c r="F161" i="25"/>
  <c r="I43" i="7"/>
  <c r="I57" i="7"/>
  <c r="H57" i="7"/>
  <c r="B8" i="2"/>
  <c r="F72" i="1"/>
  <c r="F71" i="1"/>
  <c r="C179" i="25"/>
  <c r="C11" i="4"/>
  <c r="H40" i="1"/>
  <c r="H37" i="1"/>
  <c r="H15" i="15"/>
  <c r="G37" i="1"/>
  <c r="G15" i="15"/>
  <c r="F11" i="3"/>
  <c r="F16" i="4"/>
  <c r="E13" i="2"/>
  <c r="E10" i="29"/>
  <c r="F20" i="15"/>
  <c r="B8" i="29"/>
  <c r="H103" i="25"/>
  <c r="H102" i="25"/>
  <c r="G102" i="25"/>
  <c r="H11" i="15"/>
  <c r="H8" i="15"/>
  <c r="H29" i="1"/>
  <c r="H69" i="1"/>
  <c r="F43" i="6"/>
  <c r="F47" i="6"/>
  <c r="B11" i="29"/>
  <c r="F51" i="6"/>
  <c r="F53" i="6"/>
  <c r="C17" i="3"/>
  <c r="C43" i="4"/>
  <c r="F45" i="6"/>
  <c r="H131" i="25"/>
  <c r="H130" i="25"/>
  <c r="G130" i="25"/>
  <c r="F80" i="1"/>
  <c r="H72" i="7"/>
  <c r="H89" i="7"/>
  <c r="H100" i="7"/>
  <c r="D8" i="2"/>
  <c r="C8" i="29"/>
  <c r="C7" i="5"/>
  <c r="G14" i="15"/>
  <c r="G13" i="15" s="1"/>
  <c r="G41" i="1"/>
  <c r="G70" i="1"/>
  <c r="F25" i="5"/>
  <c r="F16" i="5"/>
  <c r="G140" i="25"/>
  <c r="F139" i="25"/>
  <c r="F82" i="1"/>
  <c r="F84" i="1"/>
  <c r="I72" i="7"/>
  <c r="I89" i="7"/>
  <c r="I100" i="7"/>
  <c r="G87" i="25"/>
  <c r="F86" i="25"/>
  <c r="F55" i="25"/>
  <c r="H124" i="25"/>
  <c r="H123" i="25"/>
  <c r="G123" i="25"/>
  <c r="G137" i="25" s="1"/>
  <c r="G57" i="9"/>
  <c r="G58" i="9"/>
  <c r="H14" i="15"/>
  <c r="H13" i="15"/>
  <c r="H41" i="1"/>
  <c r="H70" i="1"/>
  <c r="H47" i="11"/>
  <c r="I47" i="11"/>
  <c r="H12" i="1"/>
  <c r="H7" i="15"/>
  <c r="H7" i="25"/>
  <c r="H33" i="25"/>
  <c r="G6" i="5"/>
  <c r="G25" i="5"/>
  <c r="H7" i="9"/>
  <c r="H13" i="9"/>
  <c r="A91" i="9"/>
  <c r="H32" i="1"/>
  <c r="K7" i="6"/>
  <c r="H27" i="11"/>
  <c r="H7" i="11"/>
  <c r="K12" i="6"/>
  <c r="H86" i="7"/>
  <c r="H97" i="7"/>
  <c r="G43" i="6"/>
  <c r="G47" i="6"/>
  <c r="C11" i="29"/>
  <c r="H19" i="6"/>
  <c r="G45" i="6"/>
  <c r="G51" i="6"/>
  <c r="G53" i="6"/>
  <c r="D17" i="3"/>
  <c r="D43" i="4"/>
  <c r="H148" i="25"/>
  <c r="H146" i="25"/>
  <c r="G146" i="25"/>
  <c r="G161" i="25"/>
  <c r="F160" i="25"/>
  <c r="F167" i="25" s="1"/>
  <c r="H56" i="9"/>
  <c r="H53" i="9"/>
  <c r="H77" i="1"/>
  <c r="H78" i="1"/>
  <c r="G11" i="15"/>
  <c r="G8" i="15"/>
  <c r="G29" i="1"/>
  <c r="G69" i="1"/>
  <c r="G78" i="1"/>
  <c r="G77" i="1"/>
  <c r="H44" i="9"/>
  <c r="H45" i="9"/>
  <c r="H44" i="25"/>
  <c r="H47" i="25"/>
  <c r="G47" i="25"/>
  <c r="E167" i="25"/>
  <c r="G18" i="15"/>
  <c r="G16" i="15"/>
  <c r="G16" i="5"/>
  <c r="G10" i="5"/>
  <c r="H87" i="25"/>
  <c r="H86" i="25"/>
  <c r="G86" i="25"/>
  <c r="G49" i="6"/>
  <c r="I27" i="11"/>
  <c r="I7" i="11"/>
  <c r="D8" i="29"/>
  <c r="D7" i="5"/>
  <c r="F49" i="6"/>
  <c r="H71" i="1"/>
  <c r="H80" i="1"/>
  <c r="H72" i="1"/>
  <c r="H82" i="1"/>
  <c r="B12" i="29"/>
  <c r="G71" i="1"/>
  <c r="G80" i="1"/>
  <c r="G72" i="1"/>
  <c r="G82" i="1"/>
  <c r="H55" i="9"/>
  <c r="H59" i="9"/>
  <c r="H161" i="25"/>
  <c r="H160" i="25"/>
  <c r="G160" i="25"/>
  <c r="H43" i="6"/>
  <c r="I19" i="6"/>
  <c r="H47" i="6"/>
  <c r="D11" i="29"/>
  <c r="H45" i="6"/>
  <c r="H51" i="6"/>
  <c r="E32" i="3"/>
  <c r="C12" i="29"/>
  <c r="H16" i="15"/>
  <c r="H18" i="15"/>
  <c r="C14" i="2"/>
  <c r="H140" i="25"/>
  <c r="H139" i="25"/>
  <c r="H167" i="25"/>
  <c r="G139" i="25"/>
  <c r="E8" i="2"/>
  <c r="B14" i="2"/>
  <c r="H137" i="25"/>
  <c r="D12" i="29"/>
  <c r="E7" i="5"/>
  <c r="E8" i="29"/>
  <c r="D14" i="2"/>
  <c r="H53" i="6"/>
  <c r="E17" i="3"/>
  <c r="E43" i="4"/>
  <c r="G8" i="2"/>
  <c r="G13" i="2"/>
  <c r="G10" i="29"/>
  <c r="H20" i="15"/>
  <c r="H11" i="3"/>
  <c r="H16" i="4"/>
  <c r="H49" i="6"/>
  <c r="H57" i="9"/>
  <c r="H58" i="9"/>
  <c r="F13" i="2"/>
  <c r="F10" i="29"/>
  <c r="G20" i="15"/>
  <c r="G11" i="3"/>
  <c r="G16" i="4"/>
  <c r="B26" i="5"/>
  <c r="G167" i="25"/>
  <c r="C26" i="5"/>
  <c r="I47" i="6"/>
  <c r="E11" i="29"/>
  <c r="J19" i="6"/>
  <c r="I43" i="6"/>
  <c r="I51" i="6"/>
  <c r="I53" i="6"/>
  <c r="F17" i="3"/>
  <c r="F43" i="4"/>
  <c r="I45" i="6"/>
  <c r="G84" i="1"/>
  <c r="G87" i="1"/>
  <c r="F17" i="2"/>
  <c r="F8" i="2"/>
  <c r="F7" i="5"/>
  <c r="F8" i="29"/>
  <c r="I49" i="6"/>
  <c r="E14" i="2"/>
  <c r="J47" i="6"/>
  <c r="F11" i="29"/>
  <c r="J45" i="6"/>
  <c r="K19" i="6"/>
  <c r="J43" i="6"/>
  <c r="J51" i="6"/>
  <c r="G32" i="3"/>
  <c r="G8" i="29"/>
  <c r="G7" i="5"/>
  <c r="D26" i="5"/>
  <c r="E12" i="29"/>
  <c r="K43" i="6"/>
  <c r="K51" i="6"/>
  <c r="K53" i="6"/>
  <c r="H17" i="3"/>
  <c r="H43" i="4"/>
  <c r="K47" i="6"/>
  <c r="G11" i="29"/>
  <c r="G12" i="29"/>
  <c r="K45" i="6"/>
  <c r="E26" i="5"/>
  <c r="F14" i="2"/>
  <c r="J53" i="6"/>
  <c r="G17" i="3"/>
  <c r="G43" i="4"/>
  <c r="J49" i="6"/>
  <c r="F12" i="29"/>
  <c r="F26" i="5"/>
  <c r="G14" i="2"/>
  <c r="K49" i="6"/>
  <c r="G26" i="5"/>
  <c r="D53" i="11"/>
  <c r="E51" i="11"/>
  <c r="F51" i="11"/>
  <c r="G51" i="11"/>
  <c r="H51" i="11"/>
  <c r="I51" i="11"/>
  <c r="E87" i="1"/>
  <c r="D17" i="2"/>
  <c r="E10" i="3"/>
  <c r="F87" i="1"/>
  <c r="E17" i="2"/>
  <c r="F10" i="3"/>
  <c r="D84" i="1"/>
  <c r="D32" i="3"/>
  <c r="C84" i="1"/>
  <c r="C32" i="3"/>
  <c r="F72" i="28"/>
  <c r="F36" i="28"/>
  <c r="F54" i="28"/>
  <c r="G25" i="28"/>
  <c r="F52" i="11"/>
  <c r="G10" i="3"/>
  <c r="F32" i="3"/>
  <c r="H84" i="1"/>
  <c r="G21" i="5"/>
  <c r="H11" i="7"/>
  <c r="H40" i="7"/>
  <c r="H54" i="7"/>
  <c r="H45" i="1"/>
  <c r="I6" i="7"/>
  <c r="G7" i="29"/>
  <c r="H7" i="20"/>
  <c r="F10" i="5"/>
  <c r="G47" i="11"/>
  <c r="G7" i="9"/>
  <c r="G13" i="9"/>
  <c r="A78" i="9"/>
  <c r="G12" i="1"/>
  <c r="G7" i="4"/>
  <c r="G45" i="1"/>
  <c r="G57" i="1"/>
  <c r="E25" i="5"/>
  <c r="F45" i="1"/>
  <c r="F27" i="11"/>
  <c r="F7" i="11"/>
  <c r="F7" i="20"/>
  <c r="I7" i="6"/>
  <c r="F32" i="1"/>
  <c r="E72" i="28"/>
  <c r="D30" i="3"/>
  <c r="C10" i="5"/>
  <c r="E57" i="1"/>
  <c r="E7" i="3"/>
  <c r="D7" i="29"/>
  <c r="A80" i="25"/>
  <c r="H57" i="1"/>
  <c r="H7" i="4"/>
  <c r="H7" i="3"/>
  <c r="G7" i="2"/>
  <c r="J12" i="6"/>
  <c r="G7" i="25"/>
  <c r="G33" i="25"/>
  <c r="G7" i="18"/>
  <c r="G27" i="11"/>
  <c r="G7" i="11"/>
  <c r="E7" i="2"/>
  <c r="H7" i="6"/>
  <c r="E7" i="18"/>
  <c r="E45" i="1"/>
  <c r="D7" i="2"/>
  <c r="F88" i="7"/>
  <c r="F101" i="7"/>
  <c r="E31" i="3"/>
  <c r="F71" i="7"/>
  <c r="F66" i="7"/>
  <c r="F73" i="7"/>
  <c r="F81" i="7" s="1"/>
  <c r="F91" i="7"/>
  <c r="G41" i="7"/>
  <c r="H41" i="7"/>
  <c r="G38" i="25"/>
  <c r="G55" i="25"/>
  <c r="H36" i="25"/>
  <c r="H38" i="25"/>
  <c r="H55" i="25"/>
  <c r="H55" i="7"/>
  <c r="I41" i="7"/>
  <c r="I55" i="7"/>
  <c r="D29" i="3"/>
  <c r="D12" i="3"/>
  <c r="D18" i="3"/>
  <c r="D20" i="3"/>
  <c r="F99" i="7"/>
  <c r="E81" i="7"/>
  <c r="E83" i="7"/>
  <c r="E90" i="7"/>
  <c r="E94" i="7"/>
  <c r="C15" i="2"/>
  <c r="F90" i="7"/>
  <c r="F94" i="7"/>
  <c r="D15" i="2"/>
  <c r="D23" i="2"/>
  <c r="E102" i="7"/>
  <c r="G55" i="7"/>
  <c r="D99" i="7"/>
  <c r="D94" i="7"/>
  <c r="B15" i="2"/>
  <c r="D101" i="7"/>
  <c r="C31" i="3"/>
  <c r="D172" i="25"/>
  <c r="D168" i="25"/>
  <c r="C24" i="2"/>
  <c r="F80" i="25"/>
  <c r="E79" i="25"/>
  <c r="E93" i="25"/>
  <c r="E168" i="25"/>
  <c r="D24" i="2"/>
  <c r="D11" i="11"/>
  <c r="D12" i="11"/>
  <c r="D54" i="11"/>
  <c r="E53" i="11"/>
  <c r="E54" i="11" s="1"/>
  <c r="E11" i="11"/>
  <c r="E12" i="11" s="1"/>
  <c r="D87" i="1"/>
  <c r="C17" i="2"/>
  <c r="C23" i="2"/>
  <c r="C26" i="2"/>
  <c r="D10" i="3"/>
  <c r="A87" i="25"/>
  <c r="A96" i="25"/>
  <c r="A103" i="25"/>
  <c r="A81" i="25"/>
  <c r="G72" i="28"/>
  <c r="H25" i="28"/>
  <c r="G36" i="28"/>
  <c r="G54" i="28"/>
  <c r="C10" i="3"/>
  <c r="C87" i="1"/>
  <c r="B17" i="2"/>
  <c r="B23" i="2"/>
  <c r="I86" i="7"/>
  <c r="I97" i="7"/>
  <c r="I69" i="7"/>
  <c r="I11" i="7"/>
  <c r="I40" i="7"/>
  <c r="I54" i="7"/>
  <c r="H87" i="1"/>
  <c r="G17" i="2"/>
  <c r="H10" i="3"/>
  <c r="F53" i="11"/>
  <c r="F11" i="11"/>
  <c r="G52" i="11"/>
  <c r="F83" i="7"/>
  <c r="D15" i="3"/>
  <c r="D22" i="3"/>
  <c r="D18" i="4"/>
  <c r="H71" i="7"/>
  <c r="H88" i="7"/>
  <c r="H66" i="7"/>
  <c r="I88" i="7"/>
  <c r="I71" i="7"/>
  <c r="I66" i="7"/>
  <c r="G66" i="7"/>
  <c r="G88" i="7"/>
  <c r="G71" i="7"/>
  <c r="E30" i="3"/>
  <c r="F102" i="7"/>
  <c r="D102" i="7"/>
  <c r="C30" i="3"/>
  <c r="D179" i="25"/>
  <c r="E172" i="25"/>
  <c r="E10" i="18"/>
  <c r="D26" i="2"/>
  <c r="D13" i="29"/>
  <c r="F79" i="25"/>
  <c r="F93" i="25"/>
  <c r="G80" i="25"/>
  <c r="C13" i="29"/>
  <c r="D10" i="18"/>
  <c r="F12" i="11"/>
  <c r="A88" i="25"/>
  <c r="A97" i="25"/>
  <c r="A104" i="25"/>
  <c r="A82" i="25"/>
  <c r="C17" i="4"/>
  <c r="G17" i="4"/>
  <c r="G53" i="11"/>
  <c r="G11" i="11"/>
  <c r="H52" i="11"/>
  <c r="D17" i="4"/>
  <c r="D15" i="4"/>
  <c r="E17" i="4"/>
  <c r="H72" i="28"/>
  <c r="H36" i="28"/>
  <c r="H54" i="28"/>
  <c r="A140" i="25"/>
  <c r="A147" i="25"/>
  <c r="A154" i="25"/>
  <c r="A161" i="25"/>
  <c r="A110" i="25"/>
  <c r="A117" i="25"/>
  <c r="A124" i="25"/>
  <c r="A131" i="25"/>
  <c r="F17" i="4"/>
  <c r="H17" i="4"/>
  <c r="F54" i="11"/>
  <c r="G54" i="11"/>
  <c r="G73" i="7"/>
  <c r="G91" i="7"/>
  <c r="H73" i="7"/>
  <c r="H91" i="7"/>
  <c r="G101" i="7"/>
  <c r="F31" i="3"/>
  <c r="G99" i="7"/>
  <c r="I101" i="7"/>
  <c r="H31" i="3"/>
  <c r="I99" i="7"/>
  <c r="I90" i="7"/>
  <c r="H81" i="7"/>
  <c r="H83" i="7"/>
  <c r="H90" i="7"/>
  <c r="H94" i="7"/>
  <c r="F15" i="2"/>
  <c r="F23" i="2"/>
  <c r="G90" i="7"/>
  <c r="G94" i="7"/>
  <c r="E15" i="2"/>
  <c r="E18" i="3"/>
  <c r="E20" i="3"/>
  <c r="E12" i="3"/>
  <c r="E29" i="3"/>
  <c r="I73" i="7"/>
  <c r="I91" i="7"/>
  <c r="H99" i="7"/>
  <c r="H101" i="7"/>
  <c r="G31" i="3"/>
  <c r="C12" i="3"/>
  <c r="C29" i="3"/>
  <c r="C18" i="3"/>
  <c r="C20" i="3"/>
  <c r="C27" i="5"/>
  <c r="D9" i="18"/>
  <c r="D12" i="18"/>
  <c r="D9" i="20"/>
  <c r="F172" i="25"/>
  <c r="D11" i="4"/>
  <c r="G79" i="25"/>
  <c r="G93" i="25"/>
  <c r="G168" i="25"/>
  <c r="F24" i="2"/>
  <c r="H80" i="25"/>
  <c r="H79" i="25"/>
  <c r="H93" i="25"/>
  <c r="H168" i="25"/>
  <c r="G24" i="2"/>
  <c r="E9" i="20"/>
  <c r="D27" i="5"/>
  <c r="E9" i="18"/>
  <c r="E12" i="18"/>
  <c r="E179" i="25"/>
  <c r="G12" i="11"/>
  <c r="A111" i="25"/>
  <c r="A118" i="25"/>
  <c r="A125" i="25"/>
  <c r="A132" i="25"/>
  <c r="A141" i="25"/>
  <c r="A148" i="25"/>
  <c r="A155" i="25"/>
  <c r="A162" i="25"/>
  <c r="I52" i="11"/>
  <c r="I53" i="11"/>
  <c r="I11" i="11"/>
  <c r="H53" i="11"/>
  <c r="H11" i="11"/>
  <c r="A89" i="25"/>
  <c r="A98" i="25"/>
  <c r="A105" i="25"/>
  <c r="A83" i="25"/>
  <c r="E23" i="2"/>
  <c r="G81" i="7"/>
  <c r="G83" i="7"/>
  <c r="I94" i="7"/>
  <c r="G15" i="2"/>
  <c r="G23" i="2"/>
  <c r="G30" i="3"/>
  <c r="H102" i="7"/>
  <c r="E15" i="3"/>
  <c r="E22" i="3"/>
  <c r="E24" i="3"/>
  <c r="E18" i="4"/>
  <c r="H30" i="3"/>
  <c r="I102" i="7"/>
  <c r="G102" i="7"/>
  <c r="F30" i="3"/>
  <c r="I81" i="7"/>
  <c r="I83" i="7"/>
  <c r="C15" i="3"/>
  <c r="C22" i="3"/>
  <c r="C18" i="4"/>
  <c r="E11" i="4"/>
  <c r="E14" i="9"/>
  <c r="E20" i="9"/>
  <c r="F13" i="29"/>
  <c r="F26" i="2"/>
  <c r="G10" i="18"/>
  <c r="F179" i="25"/>
  <c r="D14" i="9"/>
  <c r="D20" i="9"/>
  <c r="H10" i="18"/>
  <c r="G13" i="29"/>
  <c r="G26" i="2"/>
  <c r="H172" i="25"/>
  <c r="G172" i="25"/>
  <c r="H12" i="11"/>
  <c r="H54" i="11"/>
  <c r="A142" i="25"/>
  <c r="A149" i="25"/>
  <c r="A156" i="25"/>
  <c r="A163" i="25"/>
  <c r="A112" i="25"/>
  <c r="A119" i="25"/>
  <c r="A126" i="25"/>
  <c r="A133" i="25"/>
  <c r="A90" i="25"/>
  <c r="A99" i="25"/>
  <c r="A106" i="25"/>
  <c r="A84" i="25"/>
  <c r="F29" i="3"/>
  <c r="F18" i="3"/>
  <c r="F20" i="3"/>
  <c r="F12" i="3"/>
  <c r="G29" i="3"/>
  <c r="G18" i="3"/>
  <c r="G20" i="3"/>
  <c r="G12" i="3"/>
  <c r="E20" i="20"/>
  <c r="E14" i="20"/>
  <c r="E14" i="18"/>
  <c r="E8" i="9"/>
  <c r="E10" i="9"/>
  <c r="D24" i="3"/>
  <c r="C24" i="3"/>
  <c r="G27" i="5"/>
  <c r="H9" i="18"/>
  <c r="H12" i="18"/>
  <c r="H9" i="20"/>
  <c r="F27" i="5"/>
  <c r="G9" i="20"/>
  <c r="G9" i="18"/>
  <c r="G12" i="18"/>
  <c r="H179" i="25"/>
  <c r="G179" i="25"/>
  <c r="F11" i="4"/>
  <c r="A85" i="25"/>
  <c r="A92" i="25"/>
  <c r="A101" i="25"/>
  <c r="A108" i="25"/>
  <c r="A91" i="25"/>
  <c r="A100" i="25"/>
  <c r="A107" i="25"/>
  <c r="A143" i="25"/>
  <c r="A150" i="25"/>
  <c r="A157" i="25"/>
  <c r="A164" i="25"/>
  <c r="A113" i="25"/>
  <c r="A120" i="25"/>
  <c r="A127" i="25"/>
  <c r="A134" i="25"/>
  <c r="G18" i="4"/>
  <c r="G15" i="3"/>
  <c r="G22" i="3"/>
  <c r="F18" i="4"/>
  <c r="F15" i="3"/>
  <c r="F22" i="3"/>
  <c r="F24" i="3"/>
  <c r="E21" i="18"/>
  <c r="E16" i="18"/>
  <c r="D14" i="20"/>
  <c r="D20" i="20"/>
  <c r="D14" i="18"/>
  <c r="D8" i="9"/>
  <c r="D10" i="9"/>
  <c r="C14" i="20"/>
  <c r="C8" i="9"/>
  <c r="C10" i="9"/>
  <c r="C20" i="20"/>
  <c r="C14" i="18"/>
  <c r="G14" i="9"/>
  <c r="G20" i="9"/>
  <c r="H14" i="9"/>
  <c r="H20" i="9"/>
  <c r="G11" i="4"/>
  <c r="H11" i="4"/>
  <c r="A115" i="25"/>
  <c r="A122" i="25"/>
  <c r="A129" i="25"/>
  <c r="A136" i="25"/>
  <c r="A145" i="25"/>
  <c r="A152" i="25"/>
  <c r="A159" i="25"/>
  <c r="A166" i="25"/>
  <c r="A114" i="25"/>
  <c r="A121" i="25"/>
  <c r="A128" i="25"/>
  <c r="A135" i="25"/>
  <c r="A144" i="25"/>
  <c r="A151" i="25"/>
  <c r="A158" i="25"/>
  <c r="A165" i="25"/>
  <c r="G24" i="3"/>
  <c r="G20" i="20"/>
  <c r="E29" i="11"/>
  <c r="E9" i="11"/>
  <c r="E14" i="11"/>
  <c r="L10" i="11"/>
  <c r="G14" i="20"/>
  <c r="F20" i="20"/>
  <c r="F14" i="20"/>
  <c r="F14" i="18"/>
  <c r="D16" i="18"/>
  <c r="D21" i="18"/>
  <c r="G14" i="18"/>
  <c r="G16" i="18"/>
  <c r="G8" i="9"/>
  <c r="G10" i="9"/>
  <c r="D29" i="11"/>
  <c r="D9" i="11"/>
  <c r="D14" i="11"/>
  <c r="L9" i="11"/>
  <c r="G21" i="18"/>
  <c r="G29" i="11"/>
  <c r="G9" i="11"/>
  <c r="G14" i="11"/>
  <c r="L12" i="11"/>
  <c r="C32" i="9"/>
  <c r="D29" i="9"/>
  <c r="D33" i="9"/>
  <c r="B69" i="11"/>
  <c r="C103" i="9"/>
  <c r="B28" i="2"/>
  <c r="C24" i="20"/>
  <c r="C26" i="20"/>
  <c r="E28" i="4"/>
  <c r="F28" i="4"/>
  <c r="D31" i="9"/>
  <c r="D32" i="9" s="1"/>
  <c r="D103" i="9"/>
  <c r="C28" i="2"/>
  <c r="E27" i="9"/>
  <c r="D101" i="9"/>
  <c r="D39" i="4"/>
  <c r="E30" i="9"/>
  <c r="E104" i="9"/>
  <c r="E23" i="20"/>
  <c r="G28" i="4"/>
  <c r="D24" i="20"/>
  <c r="C19" i="5"/>
  <c r="C29" i="2"/>
  <c r="C28" i="5"/>
  <c r="D49" i="11"/>
  <c r="D56" i="11"/>
  <c r="D37" i="4"/>
  <c r="C69" i="11"/>
  <c r="E33" i="9"/>
  <c r="E29" i="9"/>
  <c r="H28" i="4"/>
  <c r="F30" i="9"/>
  <c r="F104" i="9"/>
  <c r="F23" i="20"/>
  <c r="F27" i="9"/>
  <c r="E101" i="9"/>
  <c r="E39" i="4"/>
  <c r="E31" i="9"/>
  <c r="E103" i="9"/>
  <c r="D28" i="2"/>
  <c r="L52" i="11"/>
  <c r="E24" i="20"/>
  <c r="D29" i="2"/>
  <c r="D28" i="5"/>
  <c r="D19" i="5"/>
  <c r="E49" i="11"/>
  <c r="E56" i="11"/>
  <c r="E37" i="4"/>
  <c r="D69" i="11"/>
  <c r="F29" i="9"/>
  <c r="F33" i="9"/>
  <c r="E32" i="9"/>
  <c r="G30" i="9"/>
  <c r="G104" i="9"/>
  <c r="G23" i="20"/>
  <c r="F101" i="9"/>
  <c r="F39" i="4"/>
  <c r="G27" i="9"/>
  <c r="F31" i="9"/>
  <c r="F103" i="9"/>
  <c r="E28" i="2"/>
  <c r="L53" i="11"/>
  <c r="F24" i="20"/>
  <c r="F37" i="4"/>
  <c r="E69" i="11"/>
  <c r="G33" i="9"/>
  <c r="G29" i="9"/>
  <c r="F32" i="9"/>
  <c r="H30" i="9"/>
  <c r="H104" i="9"/>
  <c r="H23" i="20"/>
  <c r="H27" i="9"/>
  <c r="G101" i="9"/>
  <c r="G39" i="4"/>
  <c r="G31" i="9"/>
  <c r="G103" i="9"/>
  <c r="F28" i="2"/>
  <c r="G32" i="9"/>
  <c r="H33" i="9"/>
  <c r="H101" i="9"/>
  <c r="H39" i="4"/>
  <c r="H29" i="9"/>
  <c r="G37" i="4"/>
  <c r="F69" i="11"/>
  <c r="G24" i="20"/>
  <c r="F29" i="2"/>
  <c r="F28" i="5"/>
  <c r="F19" i="5"/>
  <c r="G49" i="11"/>
  <c r="G56" i="11"/>
  <c r="H31" i="9"/>
  <c r="L55" i="11"/>
  <c r="H37" i="4"/>
  <c r="G69" i="11"/>
  <c r="H103" i="9" l="1"/>
  <c r="G28" i="2" s="1"/>
  <c r="H32" i="9"/>
  <c r="G17" i="20"/>
  <c r="E17" i="20"/>
  <c r="D17" i="20"/>
  <c r="G15" i="4"/>
  <c r="H32" i="3"/>
  <c r="F15" i="4"/>
  <c r="F137" i="25"/>
  <c r="E15" i="4"/>
  <c r="C15" i="4"/>
  <c r="E45" i="9"/>
  <c r="G84" i="9"/>
  <c r="F29" i="25"/>
  <c r="C141" i="25"/>
  <c r="C139" i="25" s="1"/>
  <c r="C148" i="25"/>
  <c r="C146" i="25" s="1"/>
  <c r="D87" i="28"/>
  <c r="E87" i="28"/>
  <c r="F87" i="28"/>
  <c r="G87" i="28"/>
  <c r="C167" i="25" l="1"/>
  <c r="F19" i="18"/>
  <c r="F19" i="20"/>
  <c r="F8" i="9"/>
  <c r="F10" i="9" s="1"/>
  <c r="F173" i="25"/>
  <c r="G173" i="25"/>
  <c r="H173" i="25"/>
  <c r="F168" i="25"/>
  <c r="E24" i="2" s="1"/>
  <c r="H12" i="3"/>
  <c r="H18" i="3"/>
  <c r="H29" i="3"/>
  <c r="H24" i="20"/>
  <c r="G29" i="2"/>
  <c r="G19" i="5"/>
  <c r="G28" i="5" l="1"/>
  <c r="H20" i="3"/>
  <c r="H18" i="4"/>
  <c r="H15" i="3"/>
  <c r="H22" i="3" s="1"/>
  <c r="H24" i="3" s="1"/>
  <c r="F10" i="18"/>
  <c r="E26" i="2"/>
  <c r="E13" i="29"/>
  <c r="H180" i="25"/>
  <c r="G180" i="25"/>
  <c r="F180" i="25"/>
  <c r="C168" i="25"/>
  <c r="B24" i="2" s="1"/>
  <c r="C174" i="25"/>
  <c r="D174" i="25"/>
  <c r="E174" i="25"/>
  <c r="F174" i="25"/>
  <c r="G174" i="25"/>
  <c r="H174" i="25"/>
  <c r="H181" i="25" l="1"/>
  <c r="H12" i="4" s="1"/>
  <c r="H175" i="25"/>
  <c r="G181" i="25"/>
  <c r="G12" i="4" s="1"/>
  <c r="G175" i="25"/>
  <c r="F181" i="25"/>
  <c r="F12" i="4" s="1"/>
  <c r="F175" i="25"/>
  <c r="E181" i="25"/>
  <c r="E175" i="25"/>
  <c r="D181" i="25"/>
  <c r="D175" i="25"/>
  <c r="C181" i="25"/>
  <c r="C175" i="25"/>
  <c r="C10" i="18"/>
  <c r="B26" i="2"/>
  <c r="B13" i="29"/>
  <c r="F10" i="4"/>
  <c r="F9" i="4" s="1"/>
  <c r="F23" i="4" s="1"/>
  <c r="F182" i="25"/>
  <c r="G10" i="4"/>
  <c r="G9" i="4" s="1"/>
  <c r="G23" i="4" s="1"/>
  <c r="G182" i="25"/>
  <c r="H10" i="4"/>
  <c r="H9" i="4" s="1"/>
  <c r="H182" i="25"/>
  <c r="F9" i="20"/>
  <c r="F17" i="20" s="1"/>
  <c r="E27" i="5"/>
  <c r="F9" i="18"/>
  <c r="F12" i="18" s="1"/>
  <c r="E12" i="5"/>
  <c r="E19" i="5"/>
  <c r="E29" i="2"/>
  <c r="E28" i="5"/>
  <c r="H8" i="9"/>
  <c r="H10" i="9" s="1"/>
  <c r="H14" i="18"/>
  <c r="H14" i="20"/>
  <c r="H17" i="20" s="1"/>
  <c r="H20" i="20"/>
  <c r="H15" i="4"/>
  <c r="H23" i="4" l="1"/>
  <c r="H21" i="18"/>
  <c r="H16" i="18"/>
  <c r="F14" i="9"/>
  <c r="F20" i="9" s="1"/>
  <c r="F21" i="18"/>
  <c r="F16" i="18"/>
  <c r="N20" i="11"/>
  <c r="I9" i="11" s="1"/>
  <c r="I14" i="11" s="1"/>
  <c r="F13" i="5"/>
  <c r="F12" i="5"/>
  <c r="E13" i="5"/>
  <c r="C9" i="18"/>
  <c r="C12" i="18" s="1"/>
  <c r="C9" i="20"/>
  <c r="C17" i="20" s="1"/>
  <c r="C27" i="20" s="1"/>
  <c r="C28" i="20" s="1"/>
  <c r="B27" i="5"/>
  <c r="B19" i="5"/>
  <c r="B29" i="2"/>
  <c r="B28" i="5"/>
  <c r="C12" i="4"/>
  <c r="C9" i="4" s="1"/>
  <c r="C23" i="4" s="1"/>
  <c r="C182" i="25"/>
  <c r="D12" i="4"/>
  <c r="D9" i="4" s="1"/>
  <c r="D23" i="4" s="1"/>
  <c r="D182" i="25"/>
  <c r="E12" i="4"/>
  <c r="E9" i="4" s="1"/>
  <c r="E23" i="4" s="1"/>
  <c r="E182" i="25"/>
  <c r="D12" i="5" l="1"/>
  <c r="D13" i="5"/>
  <c r="C13" i="5"/>
  <c r="C12" i="5"/>
  <c r="B13" i="5"/>
  <c r="B12" i="5"/>
  <c r="B30" i="2"/>
  <c r="B31" i="2"/>
  <c r="C30" i="20"/>
  <c r="C14" i="9"/>
  <c r="C20" i="9" s="1"/>
  <c r="C21" i="18"/>
  <c r="C16" i="18"/>
  <c r="F29" i="11"/>
  <c r="F49" i="11"/>
  <c r="F56" i="11" s="1"/>
  <c r="L54" i="11" s="1"/>
  <c r="H29" i="11"/>
  <c r="H49" i="11"/>
  <c r="G13" i="5"/>
  <c r="G12" i="5"/>
  <c r="H56" i="11" l="1"/>
  <c r="L56" i="11" s="1"/>
  <c r="N61" i="11"/>
  <c r="H9" i="11"/>
  <c r="F9" i="11"/>
  <c r="F14" i="11" s="1"/>
  <c r="L11" i="11" s="1"/>
  <c r="F23" i="18"/>
  <c r="C29" i="11"/>
  <c r="C23" i="18"/>
  <c r="E23" i="18"/>
  <c r="D23" i="18"/>
  <c r="G23" i="18"/>
  <c r="H23" i="18"/>
  <c r="C49" i="11"/>
  <c r="C32" i="2"/>
  <c r="C30" i="2" s="1"/>
  <c r="B11" i="5"/>
  <c r="C32" i="4"/>
  <c r="B8" i="5"/>
  <c r="D21" i="20"/>
  <c r="D26" i="20" s="1"/>
  <c r="D27" i="20" s="1"/>
  <c r="D28" i="20" s="1"/>
  <c r="C44" i="4"/>
  <c r="C42" i="4" s="1"/>
  <c r="B23" i="5" l="1"/>
  <c r="C49" i="4"/>
  <c r="B22" i="5"/>
  <c r="D30" i="20"/>
  <c r="C33" i="4"/>
  <c r="D29" i="4"/>
  <c r="C31" i="2"/>
  <c r="D44" i="4"/>
  <c r="D42" i="4" s="1"/>
  <c r="E21" i="20"/>
  <c r="E26" i="20" s="1"/>
  <c r="E27" i="20" s="1"/>
  <c r="E28" i="20" s="1"/>
  <c r="C56" i="11"/>
  <c r="C34" i="11"/>
  <c r="C9" i="11"/>
  <c r="H14" i="11"/>
  <c r="L13" i="11" s="1"/>
  <c r="N18" i="11"/>
  <c r="C14" i="11" l="1"/>
  <c r="C20" i="11"/>
  <c r="L28" i="11"/>
  <c r="M28" i="11" s="1"/>
  <c r="C36" i="11"/>
  <c r="C58" i="11"/>
  <c r="L51" i="11"/>
  <c r="M51" i="11" s="1"/>
  <c r="D58" i="11"/>
  <c r="E58" i="11"/>
  <c r="F58" i="11"/>
  <c r="G58" i="11"/>
  <c r="H58" i="11"/>
  <c r="E30" i="20"/>
  <c r="C23" i="5"/>
  <c r="D49" i="4"/>
  <c r="C22" i="5"/>
  <c r="C8" i="5"/>
  <c r="C11" i="5"/>
  <c r="D32" i="4"/>
  <c r="D32" i="2"/>
  <c r="D30" i="2" s="1"/>
  <c r="D33" i="4"/>
  <c r="E29" i="4"/>
  <c r="B70" i="11"/>
  <c r="B17" i="5"/>
  <c r="B14" i="5"/>
  <c r="C51" i="4"/>
  <c r="C53" i="4" s="1"/>
  <c r="B18" i="5"/>
  <c r="B75" i="11" l="1"/>
  <c r="B71" i="11"/>
  <c r="B72" i="11" s="1"/>
  <c r="B73" i="11"/>
  <c r="C17" i="5"/>
  <c r="C70" i="11"/>
  <c r="C14" i="5"/>
  <c r="E44" i="4"/>
  <c r="E42" i="4" s="1"/>
  <c r="D31" i="2"/>
  <c r="F21" i="20"/>
  <c r="F26" i="20" s="1"/>
  <c r="F27" i="20" s="1"/>
  <c r="F28" i="20" s="1"/>
  <c r="D51" i="4"/>
  <c r="D53" i="4" s="1"/>
  <c r="D54" i="4" s="1"/>
  <c r="C18" i="5"/>
  <c r="N51" i="11"/>
  <c r="M52" i="11"/>
  <c r="N28" i="11"/>
  <c r="C16" i="11"/>
  <c r="D16" i="11" s="1"/>
  <c r="E16" i="11" s="1"/>
  <c r="F16" i="11" s="1"/>
  <c r="G16" i="11" s="1"/>
  <c r="H16" i="11" s="1"/>
  <c r="I16" i="11" s="1"/>
  <c r="C18" i="11" s="1"/>
  <c r="L8" i="11"/>
  <c r="M8" i="11" s="1"/>
  <c r="N8" i="11" l="1"/>
  <c r="M9" i="11"/>
  <c r="N52" i="11"/>
  <c r="M53" i="11"/>
  <c r="F30" i="20"/>
  <c r="E32" i="2"/>
  <c r="E30" i="2" s="1"/>
  <c r="E32" i="4"/>
  <c r="D8" i="5"/>
  <c r="D11" i="5"/>
  <c r="D23" i="5"/>
  <c r="E49" i="4"/>
  <c r="D22" i="5"/>
  <c r="C71" i="11"/>
  <c r="C72" i="11" s="1"/>
  <c r="C73" i="11"/>
  <c r="B79" i="11"/>
  <c r="B80" i="11" s="1"/>
  <c r="C31" i="11" s="1"/>
  <c r="C75" i="11"/>
  <c r="D75" i="11" l="1"/>
  <c r="C79" i="11"/>
  <c r="C80" i="11"/>
  <c r="D31" i="11" s="1"/>
  <c r="D32" i="11" s="1"/>
  <c r="D18" i="5"/>
  <c r="F29" i="4"/>
  <c r="E33" i="4"/>
  <c r="F44" i="4"/>
  <c r="F42" i="4" s="1"/>
  <c r="G21" i="20"/>
  <c r="G26" i="20" s="1"/>
  <c r="G27" i="20" s="1"/>
  <c r="G28" i="20" s="1"/>
  <c r="E31" i="2"/>
  <c r="N53" i="11"/>
  <c r="M54" i="11"/>
  <c r="M10" i="11"/>
  <c r="N9" i="11"/>
  <c r="M11" i="11" l="1"/>
  <c r="N10" i="11"/>
  <c r="N54" i="11"/>
  <c r="M55" i="11"/>
  <c r="F32" i="4"/>
  <c r="F32" i="2"/>
  <c r="F30" i="2" s="1"/>
  <c r="E11" i="5"/>
  <c r="E8" i="5"/>
  <c r="G30" i="20"/>
  <c r="E23" i="5"/>
  <c r="F49" i="4"/>
  <c r="E22" i="5"/>
  <c r="D70" i="11"/>
  <c r="D17" i="5"/>
  <c r="D14" i="5"/>
  <c r="E51" i="4"/>
  <c r="E53" i="4" s="1"/>
  <c r="E54" i="4" s="1"/>
  <c r="F33" i="4"/>
  <c r="G29" i="4"/>
  <c r="D34" i="11"/>
  <c r="E75" i="11"/>
  <c r="D79" i="11"/>
  <c r="E79" i="11" l="1"/>
  <c r="F75" i="11"/>
  <c r="L29" i="11"/>
  <c r="M29" i="11" s="1"/>
  <c r="D36" i="11"/>
  <c r="E17" i="5"/>
  <c r="E70" i="11"/>
  <c r="E14" i="5"/>
  <c r="D71" i="11"/>
  <c r="D72" i="11" s="1"/>
  <c r="D73" i="11"/>
  <c r="F51" i="4"/>
  <c r="F53" i="4" s="1"/>
  <c r="F54" i="4" s="1"/>
  <c r="E18" i="5"/>
  <c r="H21" i="20"/>
  <c r="H26" i="20" s="1"/>
  <c r="H27" i="20" s="1"/>
  <c r="H28" i="20" s="1"/>
  <c r="H30" i="20" s="1"/>
  <c r="G44" i="4"/>
  <c r="G42" i="4" s="1"/>
  <c r="F31" i="2"/>
  <c r="N55" i="11"/>
  <c r="M56" i="11"/>
  <c r="M12" i="11"/>
  <c r="N11" i="11"/>
  <c r="N12" i="11" l="1"/>
  <c r="M13" i="11"/>
  <c r="N13" i="11" s="1"/>
  <c r="N56" i="11"/>
  <c r="C64" i="11"/>
  <c r="F8" i="5"/>
  <c r="F11" i="5"/>
  <c r="G32" i="4"/>
  <c r="G32" i="2"/>
  <c r="G30" i="2" s="1"/>
  <c r="F23" i="5"/>
  <c r="G49" i="4"/>
  <c r="F22" i="5"/>
  <c r="D80" i="11"/>
  <c r="E31" i="11" s="1"/>
  <c r="E32" i="11" s="1"/>
  <c r="E71" i="11"/>
  <c r="E72" i="11" s="1"/>
  <c r="E73" i="11"/>
  <c r="N29" i="11"/>
  <c r="G75" i="11"/>
  <c r="G79" i="11" s="1"/>
  <c r="F79" i="11"/>
  <c r="E80" i="11" l="1"/>
  <c r="F31" i="11" s="1"/>
  <c r="E34" i="11"/>
  <c r="F32" i="11"/>
  <c r="F18" i="5"/>
  <c r="G31" i="2"/>
  <c r="H44" i="4"/>
  <c r="H42" i="4" s="1"/>
  <c r="H29" i="4"/>
  <c r="G33" i="4"/>
  <c r="C22" i="11"/>
  <c r="L30" i="11" l="1"/>
  <c r="M30" i="11" s="1"/>
  <c r="E36" i="11"/>
  <c r="F70" i="11"/>
  <c r="F17" i="5"/>
  <c r="F14" i="5"/>
  <c r="G51" i="4"/>
  <c r="G53" i="4" s="1"/>
  <c r="G54" i="4" s="1"/>
  <c r="H49" i="4"/>
  <c r="G23" i="5"/>
  <c r="G22" i="5"/>
  <c r="G11" i="5"/>
  <c r="H32" i="4"/>
  <c r="H33" i="4" s="1"/>
  <c r="G14" i="5"/>
  <c r="G8" i="5"/>
  <c r="F34" i="11"/>
  <c r="N30" i="11"/>
  <c r="L31" i="11" l="1"/>
  <c r="M31" i="11" s="1"/>
  <c r="F36" i="11"/>
  <c r="N31" i="11"/>
  <c r="G17" i="5"/>
  <c r="G70" i="11"/>
  <c r="N63" i="11"/>
  <c r="I49" i="11" s="1"/>
  <c r="H51" i="4"/>
  <c r="H53" i="4" s="1"/>
  <c r="H54" i="4" s="1"/>
  <c r="G18" i="5"/>
  <c r="F71" i="11"/>
  <c r="F72" i="11" s="1"/>
  <c r="F73" i="11"/>
  <c r="F80" i="11" l="1"/>
  <c r="G31" i="11" s="1"/>
  <c r="G32" i="11" s="1"/>
  <c r="I56" i="11"/>
  <c r="C62" i="11"/>
  <c r="G71" i="11"/>
  <c r="G72" i="11" s="1"/>
  <c r="G73" i="11"/>
  <c r="G80" i="11" l="1"/>
  <c r="H31" i="11" s="1"/>
  <c r="I31" i="11" s="1"/>
  <c r="N37" i="11" s="1"/>
  <c r="L57" i="11"/>
  <c r="M57" i="11" s="1"/>
  <c r="N57" i="11" s="1"/>
  <c r="I58" i="11"/>
  <c r="C60" i="11" s="1"/>
  <c r="G34" i="11"/>
  <c r="H32" i="11"/>
  <c r="L32" i="11" l="1"/>
  <c r="M32" i="11" s="1"/>
  <c r="G36" i="11"/>
  <c r="N39" i="11"/>
  <c r="I29" i="11" s="1"/>
  <c r="H34" i="11"/>
  <c r="N32" i="11"/>
  <c r="L33" i="11" l="1"/>
  <c r="M33" i="11" s="1"/>
  <c r="N33" i="11" s="1"/>
  <c r="H36" i="11"/>
  <c r="C42" i="11"/>
  <c r="I34" i="11"/>
  <c r="I36" i="11" s="1"/>
  <c r="C38" i="11" s="1"/>
  <c r="C40" i="11"/>
</calcChain>
</file>

<file path=xl/sharedStrings.xml><?xml version="1.0" encoding="utf-8"?>
<sst xmlns="http://schemas.openxmlformats.org/spreadsheetml/2006/main" count="687" uniqueCount="458">
  <si>
    <t xml:space="preserve">NOTA: A utilização desta ferramenta,  disponibilizada pelo IAPMEI ,  é completamente autónoma  de  qualquer 
outra área/atividade do IAPMEI. Independentemente do fim a que se destine, a utilização da ferramente
 assim   como  dos  resultados  com   ela  obtidos,  é  da  inteira   responsabilidade   de   cada  utilizador.  </t>
  </si>
  <si>
    <t>Regras de utilização</t>
  </si>
  <si>
    <t>Para a melhor utilização do presente modelo o empreendedor deverá dominar conceitos básicos de análise económica e financeira ou, não sendo esse o caso, deve explorar as potencialidades do presente modelo acompanhado por alguém conhecedor desses conceitos. Por outro lado, este modelo Económico Financeiro deve ser acompanhado de informação qualitativa detalhada sobre o projecto e de explicação dos pressupostos de cálculos efectuados.</t>
  </si>
  <si>
    <t>Principais regras de utilização:</t>
  </si>
  <si>
    <r>
      <t>Ü</t>
    </r>
    <r>
      <rPr>
        <sz val="10"/>
        <rFont val="Arial Narrow"/>
        <family val="2"/>
      </rPr>
      <t xml:space="preserve"> Só devem ser inseridos valores nas células com fundo branco;</t>
    </r>
  </si>
  <si>
    <r>
      <t>Ü</t>
    </r>
    <r>
      <rPr>
        <sz val="10"/>
        <rFont val="Arial Narrow"/>
        <family val="2"/>
      </rPr>
      <t xml:space="preserve"> Os valores que se encontrem a azul, poderão ser alterados, mas dentro dos mesmos parâmetros;</t>
    </r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</si>
  <si>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 no que diz respeito à previsão de proveitos e de custos;</t>
    </r>
  </si>
  <si>
    <r>
      <t>Ü</t>
    </r>
    <r>
      <rPr>
        <sz val="10"/>
        <rFont val="Arial Narrow"/>
        <family val="2"/>
      </rPr>
      <t xml:space="preserve"> No caso de pretender efectuar uma análise de sensibilidade, utilize este mesmo modelo, mas com diferentes valores.</t>
    </r>
  </si>
  <si>
    <t>Passos para preenchimento:</t>
  </si>
  <si>
    <t>Para que o possa tirar partido de todas as funcionalidades do modelo, deverá confirmar se o nível de segurança das Macros esta em Médio. Para isso basta ir às Ferramentas - Macro - Segurança e no Nível de Segurança escolher / confirmar se está no Médio. Caso não esteja coloque a opção já indicada e feche o ficheiro. Quando reabrir , seleccione Aceitar Macro.</t>
  </si>
  <si>
    <t>Colocar o nome da empresa na célula E1 na sheet de "Pressupostos";</t>
  </si>
  <si>
    <t>Estimar o volume de negócios da empresa, através das quantidades vendidas, preço de venda dos produtos e de prestação de serviços. Caso pretenda utilize folha de cálculo anexa e faça apenas as respectivas ligações de acordo com a classificação contabilística do seu volume de negócios;</t>
  </si>
  <si>
    <t>Colocar na sheet CMVMC na célula correspondente, as margens brutas de negócio para cada um dos produtos vendidos;</t>
  </si>
  <si>
    <t>Na sheet FSE, estimar um valor médio mensal para cada umas das rubricas que se adaptem à empresa / negócio;</t>
  </si>
  <si>
    <t>Na sheet Gastos com Pessoal, definir os colaboradores (Gerência e Pessoal) da empresa e respectivas remunerações brutas mensais. Para além disto, definir, caso se aplique um valor para a formação e outros custos com pessoal;</t>
  </si>
  <si>
    <t>Posteriormente, definir o quadro de investimento da empresa / projecto na sheet de Investimentos, repartida pelas diferentes rubricas de investimento em activo fixo;</t>
  </si>
  <si>
    <t>Na sheet de Fundo Maneio, definir a Reserva de Segurança de Tesouraria. Esta rubrica representa um valor mínimo de disponibilidades a manter ao longo do projecto;</t>
  </si>
  <si>
    <t>Após a definição de todos estes pressupostos tem que definir a forma de financiamento do projecto na sheet Financiamento. Deverá indicar o valor de capital social inicial e eventuais aumentos, bem como o nível de suprimentos da empresa e / ou o valor dos empréstimos bancários;</t>
  </si>
  <si>
    <t>Os inputs do modelo estão inseridos, sendo necessário apenas fazer o acerto de disponibilidades. Assim sendo, na sheet de Plano Financeiro carregar no rectângulo que indica "Acerto do modelo"</t>
  </si>
  <si>
    <t>No caso de pretender considerar um nº superior de produtos serviços do que os previstos na folha VN - recomenda-se:
a) copiar a folha VN para uma folha desprotegida em que poderá considerar todos os produtos
b) Meter o valor total dos produtos para o mercado interno em VN - Produto A e o Valor total de produtos exportados em Exportações - Produto A.</t>
  </si>
  <si>
    <t>Aconselha-se considerar as Imparidades em 0%, pelas implicações a níveld e interpretação, já que apenas serão contabilizadas imparidades sobre Clientes com consequência no valor do F de Maneio.</t>
  </si>
  <si>
    <t>Na folha Financiamento é possível considerar valores positivos (aumentos) ou valor negativos (reembolsos) para as rúbricas:
* Outros instrumentos de capital (+/-)   
* Empréstimos de Sócios (+) ou Reembolsos a sócios (-)
* Financiamento bancário e outras Inst. Crédito
 * Subsidios (+/-)</t>
  </si>
  <si>
    <t>A distribuição de dividendos poderá ser registada na folha PLANO FINANCEIRO Linha 22</t>
  </si>
  <si>
    <r>
      <t xml:space="preserve">ACERTAR MODELO: Após carregamento dos dados e sempre que introduza alterações, é necessário carregar na tecla ACERTAR MODELO na folha PLANO FINANCEIRO.   </t>
    </r>
    <r>
      <rPr>
        <sz val="10"/>
        <color indexed="12"/>
        <rFont val="Arial Narrow"/>
        <family val="2"/>
      </rPr>
      <t>Se necessário - carregar 2 vezes  ACERTAR MODELO</t>
    </r>
  </si>
  <si>
    <t>NOTA</t>
  </si>
  <si>
    <t>No caso de empresas industriais é aconselhado o uso da sheet Calculos Auxiliares. Esta sheet  constitui uma base de cálculo indispensável ao suporte previsional do modelo de projecções.</t>
  </si>
  <si>
    <t>Empresa:</t>
  </si>
  <si>
    <t>WAITR</t>
  </si>
  <si>
    <t>Pressupostos Gerais</t>
  </si>
  <si>
    <t>Valide os pressupostos aqui indicados e ajuste-os de acordo com o seu projecto</t>
  </si>
  <si>
    <t>Unidade monetária</t>
  </si>
  <si>
    <t>Euros</t>
  </si>
  <si>
    <t>Ano inicial do projeto (Ano 0)</t>
  </si>
  <si>
    <t xml:space="preserve"> = ano em que inicia o investimento e poderá ou não haver exploração</t>
  </si>
  <si>
    <t>Prazo médio de Recebimento (dias) / (meses)</t>
  </si>
  <si>
    <t>A definir em função da prática da empresa e do sector assim como da política a prosseguir</t>
  </si>
  <si>
    <t>Prazo médio de Pagamento (dias) / (meses)</t>
  </si>
  <si>
    <t>Prazo médio de Stockagem (dias) / (meses)</t>
  </si>
  <si>
    <t xml:space="preserve">Taxa de IVA - Vendas </t>
  </si>
  <si>
    <t>Em função do tipo de produtos e serviços</t>
  </si>
  <si>
    <t>Taxa de IVA - Prestação Serviços</t>
  </si>
  <si>
    <t>Taxa de IVA - CMVMC</t>
  </si>
  <si>
    <t>Taxa de IVA - FSE</t>
  </si>
  <si>
    <t>Taxa de IVA - Investimento</t>
  </si>
  <si>
    <t>Taxa de Segurança Social - entidade - órgãos sociais</t>
  </si>
  <si>
    <t>Em vigor no ano base</t>
  </si>
  <si>
    <t>Taxa de Segurança Social - entidade - colaboradores</t>
  </si>
  <si>
    <t>Taxa de Segurança Social - pessoal - órgãos sociais</t>
  </si>
  <si>
    <t>Taxa de Segurança Social - pessoal - colaboradores</t>
  </si>
  <si>
    <t xml:space="preserve">Taxa média de IRS </t>
  </si>
  <si>
    <t>A definir em fução do Lei e do valor dos rendimentos do trabalho.</t>
  </si>
  <si>
    <t>Taxa de IRC</t>
  </si>
  <si>
    <t>Definido por Lei - ter em conta Localização e condições específicas da atividade</t>
  </si>
  <si>
    <t>Taxa de Aplicações Financeiras Curto Prazo</t>
  </si>
  <si>
    <t>Ver condições de mercado e risco da empresa na ótica bancári</t>
  </si>
  <si>
    <t>Taxa de juro de empréstimo Curto Prazo</t>
  </si>
  <si>
    <t>Taxa de juro de empréstimo ML Prazo</t>
  </si>
  <si>
    <t>Taxa de juro de ativos sem risco - Rf (Obrig Tesouro)</t>
  </si>
  <si>
    <r>
      <t xml:space="preserve">NOTA: Quando não se aplica </t>
    </r>
    <r>
      <rPr>
        <i/>
        <u/>
        <sz val="8"/>
        <color indexed="12"/>
        <rFont val="Arial Narrow"/>
        <family val="2"/>
      </rPr>
      <t>Beta</t>
    </r>
    <r>
      <rPr>
        <sz val="8"/>
        <color indexed="12"/>
        <rFont val="Arial Narrow"/>
        <family val="2"/>
      </rPr>
      <t xml:space="preserve">, colocar: </t>
    </r>
  </si>
  <si>
    <t>Prémio de risco de mercado = (Rm*-Rf) ou pº</t>
  </si>
  <si>
    <t>Um valor para o prémio de risco (pº) adequado ao projecto</t>
  </si>
  <si>
    <t>Beta U de empresas de referência</t>
  </si>
  <si>
    <t>Beta = 100% se não conhcer ou não utilizar empresa de referência</t>
  </si>
  <si>
    <t>Taxa de crescimento dos cash flows na perpetuidade</t>
  </si>
  <si>
    <t xml:space="preserve">Na maioria dos projetos considerar 0% e utilizar Não a perpetuidade mas sim o valor residual o valor do Ativo Fixo não Amortizado e o Valor Residual do F Maneio no último ano. VER  Folha Avaliação em que existem as 2 Hipóteses. </t>
  </si>
  <si>
    <t>* Rendimento esperado de mercado (entenda-se mercado acionista de referência)</t>
  </si>
  <si>
    <t>Métodos de avaliação considerados:</t>
  </si>
  <si>
    <t>Free Cash Flow to Firm</t>
  </si>
  <si>
    <r>
      <t>Em linhas gerais, o método dos fluxos de caixa descontados consiste em estimar-se os fluxos de caixa futuros da empresa e trazê-los a valor presente por uma determinada taxa de desconto (WACC). Por outras palavras - o</t>
    </r>
    <r>
      <rPr>
        <b/>
        <sz val="8"/>
        <color indexed="12"/>
        <rFont val="Arial Narrow"/>
        <family val="2"/>
      </rPr>
      <t xml:space="preserve"> valor de uma empresa </t>
    </r>
    <r>
      <rPr>
        <sz val="8"/>
        <rFont val="Arial Narrow"/>
        <family val="2"/>
      </rPr>
      <t xml:space="preserve">= Valor presente (atual) dos fluxos FCFF (fluxo de caixa líquido para a firma, do inglês Free Cash Flow to Firm). FCFF = CFL = EBITx(1-t)+Amortiz -Investimento (Capital Fixo - Fundo de Maneio Necessário). 
</t>
    </r>
    <r>
      <rPr>
        <b/>
        <sz val="8"/>
        <color indexed="12"/>
        <rFont val="Arial Narrow"/>
        <family val="2"/>
      </rPr>
      <t>Na ótica do Investidor o Valor</t>
    </r>
    <r>
      <rPr>
        <sz val="8"/>
        <rFont val="Arial Narrow"/>
        <family val="2"/>
      </rPr>
      <t xml:space="preserve"> = </t>
    </r>
    <r>
      <rPr>
        <sz val="8"/>
        <color indexed="12"/>
        <rFont val="Arial Narrow"/>
        <family val="2"/>
      </rPr>
      <t xml:space="preserve">Valor da Empresa </t>
    </r>
    <r>
      <rPr>
        <sz val="8"/>
        <rFont val="Arial Narrow"/>
        <family val="2"/>
      </rPr>
      <t xml:space="preserve">- Dívida Financeira Líquida de Ativos Financeiros.
</t>
    </r>
    <r>
      <rPr>
        <b/>
        <u/>
        <sz val="8"/>
        <rFont val="Arial Narrow"/>
        <family val="2"/>
      </rPr>
      <t>AVALIAÇÃO DO PROJETO:</t>
    </r>
    <r>
      <rPr>
        <b/>
        <sz val="8"/>
        <rFont val="Arial Narrow"/>
        <family val="2"/>
      </rPr>
      <t xml:space="preserve">  </t>
    </r>
    <r>
      <rPr>
        <b/>
        <sz val="8"/>
        <color indexed="12"/>
        <rFont val="Arial Narrow"/>
        <family val="2"/>
      </rPr>
      <t xml:space="preserve"> FCFF = CFL = EBITx(1-t)+Amortiz -Investimento (Capital Fixo - Fundo de Maneio Necessário) + valor residual investim (ano n)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1.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do projeto ou pré-financiamento em que se ignora a forma de financiamento o que é = 100% Cap Próprio</t>
    </r>
    <r>
      <rPr>
        <sz val="8"/>
        <color indexed="12"/>
        <rFont val="Arial Narrow"/>
        <family val="2"/>
      </rPr>
      <t>)</t>
    </r>
    <r>
      <rPr>
        <sz val="8"/>
        <rFont val="Arial Narrow"/>
        <family val="2"/>
      </rPr>
      <t xml:space="preserve"> a tx de utilização </t>
    </r>
    <r>
      <rPr>
        <b/>
        <sz val="8"/>
        <color indexed="12"/>
        <rFont val="Arial Narrow"/>
        <family val="2"/>
      </rPr>
      <t xml:space="preserve">R = Rf + Bu*(Rm - Rf). 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2.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pós-financiamento</t>
    </r>
    <r>
      <rPr>
        <sz val="8"/>
        <rFont val="Arial Narrow"/>
        <family val="2"/>
      </rPr>
      <t xml:space="preserve">, considerando os </t>
    </r>
    <r>
      <rPr>
        <b/>
        <i/>
        <sz val="8"/>
        <rFont val="Arial Narrow"/>
        <family val="2"/>
      </rPr>
      <t>efeitos do capital alheio refletidos na taxa de utilização</t>
    </r>
    <r>
      <rPr>
        <sz val="8"/>
        <rFont val="Arial Narrow"/>
        <family val="2"/>
      </rPr>
      <t>,
    utiliza-se o</t>
    </r>
    <r>
      <rPr>
        <b/>
        <sz val="8"/>
        <color indexed="12"/>
        <rFont val="Arial Narrow"/>
        <family val="2"/>
      </rPr>
      <t xml:space="preserve"> wacc (cmpcp) = Rcp*CP /(CP+CA)+ Rca*(1-t)*CA/ (CP+CA)</t>
    </r>
    <r>
      <rPr>
        <sz val="8"/>
        <rFont val="Arial Narrow"/>
        <family val="2"/>
      </rPr>
      <t xml:space="preserve"> em que Rcp = Rf + Bp*(Rm-Rf).  </t>
    </r>
    <r>
      <rPr>
        <sz val="8"/>
        <color indexed="12"/>
        <rFont val="Arial Narrow"/>
        <family val="2"/>
      </rPr>
      <t>Bp = Bu*(1+(1-t)*(CA/CP)) com CA e CP do projeto</t>
    </r>
  </si>
  <si>
    <r>
      <t xml:space="preserve">3. </t>
    </r>
    <r>
      <rPr>
        <b/>
        <sz val="8"/>
        <color indexed="12"/>
        <rFont val="Arial Narrow"/>
        <family val="2"/>
      </rPr>
      <t>Na análise na  Ótica do Investidor (Free Cash Flow to Equity)</t>
    </r>
  </si>
  <si>
    <r>
      <t xml:space="preserve">    No método de avaliação pelo desconto de fluxos de caixa líquido do acionista (FCFE – do inglês Free Cashflow to Equity), o objetivo é avaliar directamente o património
    líquido da empresa.  </t>
    </r>
    <r>
      <rPr>
        <b/>
        <sz val="8"/>
        <color indexed="12"/>
        <rFont val="Arial Narrow"/>
        <family val="2"/>
      </rPr>
      <t xml:space="preserve"> 
    Na avaliação do projeto na ótica do Investidor ou do Capital Próprio</t>
    </r>
    <r>
      <rPr>
        <sz val="8"/>
        <rFont val="Arial Narrow"/>
        <family val="2"/>
      </rPr>
      <t xml:space="preserve">: 
    FCFEt = Result. Líquidot + Amortiz t - Investimento t (Cap Fixo e FMN) + Financiamento alheio t (CA) - Reembolsos Financiamento t. 
    em que a </t>
    </r>
    <r>
      <rPr>
        <b/>
        <sz val="8"/>
        <color indexed="12"/>
        <rFont val="Arial Narrow"/>
        <family val="2"/>
      </rPr>
      <t xml:space="preserve"> taxa de atualização  R = Rf + Bu*(Rm - Rf)</t>
    </r>
  </si>
  <si>
    <t>s</t>
  </si>
  <si>
    <t>Vendas + Prestações de Serviços</t>
  </si>
  <si>
    <t>Taxa de variação dos preços</t>
  </si>
  <si>
    <t>VENDAS - MERCADO NACIONAL</t>
  </si>
  <si>
    <t>Produto A *</t>
  </si>
  <si>
    <t>Quantidades vendidas</t>
  </si>
  <si>
    <t>Taxa de crescimento das unidades vendidas</t>
  </si>
  <si>
    <t xml:space="preserve">Preço Unitário </t>
  </si>
  <si>
    <t>Produto B *</t>
  </si>
  <si>
    <t>Produto C *</t>
  </si>
  <si>
    <t>Produto D *</t>
  </si>
  <si>
    <t xml:space="preserve">TOTAL </t>
  </si>
  <si>
    <t>VENDAS - EXPORTAÇÃO</t>
  </si>
  <si>
    <t>* Produtos / Familias de Produtos / Mercadorias</t>
  </si>
  <si>
    <t>NOTA: Caso não tenha conhecimento das quantidades, colocar o valor das vendas na linha das "Quantidades Vendidas" e o valor 1 na linha do "Preço Unitário".</t>
  </si>
  <si>
    <t>PRESTAÇÕES DE SERVIÇOS - MERCADO NACIONAL</t>
  </si>
  <si>
    <t>Serviço A</t>
  </si>
  <si>
    <t xml:space="preserve">Taxa de crescimento </t>
  </si>
  <si>
    <t>Serviço B</t>
  </si>
  <si>
    <t>Serviço C</t>
  </si>
  <si>
    <t>Serviço D</t>
  </si>
  <si>
    <t>PRESTAÇÕES DE SERVIÇOS - EXPORTAÇÕES</t>
  </si>
  <si>
    <t>TOTAL VENDAS - MERCADO NACIONAL</t>
  </si>
  <si>
    <t>TOTAL VENDAS - EXPORTAÇÕES</t>
  </si>
  <si>
    <t>TOTAL VENDAS</t>
  </si>
  <si>
    <t>IVA VENDAS</t>
  </si>
  <si>
    <t>TOTAL PRESTAÇÕES DE SERVIÇOS - MERCADO NACIONAL</t>
  </si>
  <si>
    <t>TOTAL PRESTAÇÕES DE SERVIÇOS - EXPORTAÇÕES</t>
  </si>
  <si>
    <t>TOTAL PRESTAÇÕES SERVIÇOS</t>
  </si>
  <si>
    <t>IVA PRESTAÇÕES DE SERVIÇOS</t>
  </si>
  <si>
    <t>TOTAL VOLUME DE NEGÓCIOS</t>
  </si>
  <si>
    <t>IVA</t>
  </si>
  <si>
    <t>TOTAL VOLUME DE NEGÓCIOS + IVA</t>
  </si>
  <si>
    <t>Perdas por imparidade                                                                %</t>
  </si>
  <si>
    <t>EMPRESA:</t>
  </si>
  <si>
    <t>CMVMC - Custo das Mercadorias Vendidas e Matérias Consumidas</t>
  </si>
  <si>
    <t>CMVMC</t>
  </si>
  <si>
    <t>Margem Bruta</t>
  </si>
  <si>
    <t>MERCADO NACIONAL</t>
  </si>
  <si>
    <t>MERCADO EXTERNO</t>
  </si>
  <si>
    <t>TOTAL CMVMC</t>
  </si>
  <si>
    <t>TOTAL CMVMC + IVA</t>
  </si>
  <si>
    <t>NOTA: Mapa construído caso a caso:</t>
  </si>
  <si>
    <t>a) Introduzir a Margem Bruta directamente, quando conhecida e passível de ser utilizada, ou efectuar a respectiva fórmula de cálculo;</t>
  </si>
  <si>
    <t>b) Efectuar os cálculos auxiliares considerados necessários para alcançar a o nível de matéria-prima por unidade produzida e introduzir manualmente os valores;</t>
  </si>
  <si>
    <t>c) Caso não seja possível alcançar o nível do consumo de matéria-prima por produto, introduzir o valor do custo total, após a realização dos respectivos cálculos auxiliares.</t>
  </si>
  <si>
    <t>NOTA 2: Está disponível uma folha para cálculos auxiliares. Contém mapas para cálculo do CMVMC de projectos industriais.</t>
  </si>
  <si>
    <t>FSE - Fornecimentos e Serviços Externos</t>
  </si>
  <si>
    <t>Nº Meses</t>
  </si>
  <si>
    <t>Taxa de crescimento</t>
  </si>
  <si>
    <t>Tx IVA</t>
  </si>
  <si>
    <t>CF</t>
  </si>
  <si>
    <t>CV</t>
  </si>
  <si>
    <t>Valor Mensal</t>
  </si>
  <si>
    <t>Subcontratos</t>
  </si>
  <si>
    <t>Serviços especializados</t>
  </si>
  <si>
    <t>Trabalhos especializados</t>
  </si>
  <si>
    <t>Publicidade e propaganda</t>
  </si>
  <si>
    <t>Vigilância e segurança</t>
  </si>
  <si>
    <t>Honorários</t>
  </si>
  <si>
    <t>Comissões</t>
  </si>
  <si>
    <t>Conservação e reparação</t>
  </si>
  <si>
    <t>Materiais</t>
  </si>
  <si>
    <t>Ferramentas e utensilios de desgaste rápido</t>
  </si>
  <si>
    <t>Livros e documentação técnica</t>
  </si>
  <si>
    <t>Material de escritório</t>
  </si>
  <si>
    <t>Artigos para oferta</t>
  </si>
  <si>
    <t>Energia e fluidos</t>
  </si>
  <si>
    <t>Electricidade</t>
  </si>
  <si>
    <t>Combustíveis</t>
  </si>
  <si>
    <t>Água</t>
  </si>
  <si>
    <t>Deslocações, estadas e transportes</t>
  </si>
  <si>
    <t>Deslocações e Estadas</t>
  </si>
  <si>
    <t>Transportes de pessoal</t>
  </si>
  <si>
    <t>Transportes de mercadorias</t>
  </si>
  <si>
    <t>Serviços diversos</t>
  </si>
  <si>
    <t>Rendas e alugueres</t>
  </si>
  <si>
    <t>Comunicação</t>
  </si>
  <si>
    <t>Seguros</t>
  </si>
  <si>
    <t>Royalties</t>
  </si>
  <si>
    <t>Contencioso e notariado</t>
  </si>
  <si>
    <t>Despesas de representação</t>
  </si>
  <si>
    <t>Limpeza, higiene e conforto</t>
  </si>
  <si>
    <t>Outros serviços</t>
  </si>
  <si>
    <t xml:space="preserve">TOTAL FSE  </t>
  </si>
  <si>
    <t>FSE - Custos Fixos</t>
  </si>
  <si>
    <t>FSE - Custos Variáveis</t>
  </si>
  <si>
    <t>TOTAL FSE</t>
  </si>
  <si>
    <t>FSE + IVA</t>
  </si>
  <si>
    <t>Gastos com o Pessoal</t>
  </si>
  <si>
    <t>Incremento Anual (Vencimentos + Sub. Almoço)</t>
  </si>
  <si>
    <t>Quadro de Pessoal (n.º pessoas)</t>
  </si>
  <si>
    <t>Administração / Direcção</t>
  </si>
  <si>
    <t>Administrativa Financeira</t>
  </si>
  <si>
    <t>Comercial / Marketing</t>
  </si>
  <si>
    <t>Produção / Operacional</t>
  </si>
  <si>
    <t>Qualidade</t>
  </si>
  <si>
    <t>Manutenção</t>
  </si>
  <si>
    <t>Aprovisionamento</t>
  </si>
  <si>
    <t>Investigação &amp; Desenvolvimento</t>
  </si>
  <si>
    <t>Outros</t>
  </si>
  <si>
    <t>TOTAL</t>
  </si>
  <si>
    <t>Quadro de Pessoal (n.º meses de trabalho)</t>
  </si>
  <si>
    <t>Remuneração base mensal</t>
  </si>
  <si>
    <t>Remuneração base anual - TOTAL Colaboradores</t>
  </si>
  <si>
    <t>Outros Gastos</t>
  </si>
  <si>
    <t>Segurança Social</t>
  </si>
  <si>
    <t>Órgãos Sociais</t>
  </si>
  <si>
    <t>Pessoal</t>
  </si>
  <si>
    <t>Seguros Acidentes de Trabalho</t>
  </si>
  <si>
    <t>Subsídio Alimentação  - nº dias úteis/mês x subsidio/dia</t>
  </si>
  <si>
    <t>N.º meses subsidio alimentação (meses)</t>
  </si>
  <si>
    <t>Comissões &amp; Prémios</t>
  </si>
  <si>
    <t xml:space="preserve">Formação </t>
  </si>
  <si>
    <t>Outros custos com pessoal</t>
  </si>
  <si>
    <t>TOTAL OUTROS GASTOS</t>
  </si>
  <si>
    <t>TOTAL GASTOS COM PESSOAL</t>
  </si>
  <si>
    <t>QUADRO RESUMO</t>
  </si>
  <si>
    <t>Remunerações</t>
  </si>
  <si>
    <t>Encargos sobre remunerações</t>
  </si>
  <si>
    <t>Seguros Acidentes de Trabalho e doenças profissionais</t>
  </si>
  <si>
    <t>Gastos de acção social</t>
  </si>
  <si>
    <t>Outros gastos com pessoal</t>
  </si>
  <si>
    <t>Retenções Colaboradores</t>
  </si>
  <si>
    <t>Retenção SS Colaborador</t>
  </si>
  <si>
    <t>Gerência / Administração</t>
  </si>
  <si>
    <t>Outro Pessoal</t>
  </si>
  <si>
    <t>Retenção IRS Colaborador</t>
  </si>
  <si>
    <t>TOTAL Retenções</t>
  </si>
  <si>
    <t>Investimento em Fundo Maneio Necessário</t>
  </si>
  <si>
    <t>Necessidades Fundo Maneio</t>
  </si>
  <si>
    <t>Reserva Segurança Tesouraria</t>
  </si>
  <si>
    <t>Clientes</t>
  </si>
  <si>
    <t>Inventários</t>
  </si>
  <si>
    <t>Estado</t>
  </si>
  <si>
    <t>*</t>
  </si>
  <si>
    <t>Recursos Fundo Maneio</t>
  </si>
  <si>
    <t>Fornecedores</t>
  </si>
  <si>
    <t>Fundo Maneio Necessário</t>
  </si>
  <si>
    <t>Investimento em Fundo de Maneio</t>
  </si>
  <si>
    <t>* A considerar caso seja necessário</t>
  </si>
  <si>
    <t>ESTADO</t>
  </si>
  <si>
    <t>SS</t>
  </si>
  <si>
    <t>IRS</t>
  </si>
  <si>
    <t>Investimento</t>
  </si>
  <si>
    <t>Investimento por ano</t>
  </si>
  <si>
    <t>Propriedades de investimento</t>
  </si>
  <si>
    <t>Terrenos e recursos naturais</t>
  </si>
  <si>
    <t>Edificios e Outras construções</t>
  </si>
  <si>
    <t>Outras propriedades de investimento</t>
  </si>
  <si>
    <t>Total propriedades de investimento</t>
  </si>
  <si>
    <t>Activos fixos tangíveis</t>
  </si>
  <si>
    <t>Terrenos e Recursos Naturais</t>
  </si>
  <si>
    <t>Edificios e Outras Construções</t>
  </si>
  <si>
    <t>Equipamento  Básico</t>
  </si>
  <si>
    <t>Equipamento de Transporte</t>
  </si>
  <si>
    <t>Equipamento Administrativo</t>
  </si>
  <si>
    <t>Equipamentos biológicos</t>
  </si>
  <si>
    <t>Outros activos fixos tangiveis</t>
  </si>
  <si>
    <t>Total Activos Fixos Tangíveis</t>
  </si>
  <si>
    <t>Activos Intangíveis</t>
  </si>
  <si>
    <t>Goodwill</t>
  </si>
  <si>
    <t>Projectos de desenvolvimento</t>
  </si>
  <si>
    <t>Programas de computador</t>
  </si>
  <si>
    <t>Propriedade industrial</t>
  </si>
  <si>
    <t>Outros activos intangíveis</t>
  </si>
  <si>
    <t>Total Activos Intangíveis</t>
  </si>
  <si>
    <t>Total Investimento</t>
  </si>
  <si>
    <t xml:space="preserve">Valores Acumulados </t>
  </si>
  <si>
    <t xml:space="preserve">   Terrenos e Recursos Naturais</t>
  </si>
  <si>
    <t xml:space="preserve">   Edificios e Outras Construções</t>
  </si>
  <si>
    <t xml:space="preserve">   Equipamento  Básico</t>
  </si>
  <si>
    <t xml:space="preserve">   Equipamento de Transporte</t>
  </si>
  <si>
    <t xml:space="preserve">   Equipamento Administrativo</t>
  </si>
  <si>
    <t xml:space="preserve">   Equipamentos biológicos</t>
  </si>
  <si>
    <t xml:space="preserve">   Outros activos fixos tangiveis</t>
  </si>
  <si>
    <t xml:space="preserve">Total </t>
  </si>
  <si>
    <t>Taxas de Depreciações e amortizações</t>
  </si>
  <si>
    <t>* nota: se a taxa a utilizar for 33,33%, colocar mais uma casa decimal, considerando 33,333%</t>
  </si>
  <si>
    <t>N.º meses actividade primeiro ano</t>
  </si>
  <si>
    <t>Depreciações e amortizações</t>
  </si>
  <si>
    <t>Equipamento básico</t>
  </si>
  <si>
    <t>Equipamento de transporte</t>
  </si>
  <si>
    <t>Equipamento administrativo</t>
  </si>
  <si>
    <t>Equipamento biológicos</t>
  </si>
  <si>
    <t>Total Depreciações &amp; Amortizações</t>
  </si>
  <si>
    <t>Depreciações &amp; Amortizações acumuladas</t>
  </si>
  <si>
    <t>Valores Balanço</t>
  </si>
  <si>
    <t>Financiamento</t>
  </si>
  <si>
    <t xml:space="preserve">Investimento </t>
  </si>
  <si>
    <t>Margem de segurança</t>
  </si>
  <si>
    <t>Necessidades de financiamento</t>
  </si>
  <si>
    <t>Fontes de Financiamento</t>
  </si>
  <si>
    <t>Meios Libertos</t>
  </si>
  <si>
    <t xml:space="preserve">Capital </t>
  </si>
  <si>
    <t>Outros instrumentos de capital</t>
  </si>
  <si>
    <t xml:space="preserve">Empréstimos de Sócios </t>
  </si>
  <si>
    <t>Financiamento bancário e outras Inst. Crédito</t>
  </si>
  <si>
    <t>Subsidios</t>
  </si>
  <si>
    <t>N.º de anos reembolso</t>
  </si>
  <si>
    <t>Taxa de juro associada</t>
  </si>
  <si>
    <t>N.º anos de carência</t>
  </si>
  <si>
    <t>Capital em dívida (início período)</t>
  </si>
  <si>
    <t>Taxa de Juro</t>
  </si>
  <si>
    <t>Juro Anual</t>
  </si>
  <si>
    <t>Reembolso Anual</t>
  </si>
  <si>
    <t>Imposto Selo (0,4%)</t>
  </si>
  <si>
    <t>Serviço da dívida</t>
  </si>
  <si>
    <t>Valor em dívida</t>
  </si>
  <si>
    <t>Valor em divida</t>
  </si>
  <si>
    <t>Capital em dívida</t>
  </si>
  <si>
    <t>Juros pagos com Imposto Selo incluído</t>
  </si>
  <si>
    <t>Reembolso</t>
  </si>
  <si>
    <t>Ponto Crítico Operacional Previsional</t>
  </si>
  <si>
    <t>FSE Variáveis</t>
  </si>
  <si>
    <t>Margem Bruta de Contribuição</t>
  </si>
  <si>
    <t>Ponto Crítico</t>
  </si>
  <si>
    <t>Demonstração de Resultados Previsional</t>
  </si>
  <si>
    <t>Vendas e serviços prestados</t>
  </si>
  <si>
    <t>Subsídios à Exploração</t>
  </si>
  <si>
    <t>Ganhos/perdas imputados de subsidiárias, associadas e empreendimentos conjuntos</t>
  </si>
  <si>
    <t>Variação nos inventários da produção</t>
  </si>
  <si>
    <t>Trabalhos para a própria entidade</t>
  </si>
  <si>
    <t>Fornecimento e serviços externos</t>
  </si>
  <si>
    <t>Gastos com o pessoal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</si>
  <si>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</si>
  <si>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</si>
  <si>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</si>
  <si>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</si>
  <si>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</si>
  <si>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Outros rendimentos e ganhos</t>
  </si>
  <si>
    <t>Outros gastos e perdas</t>
  </si>
  <si>
    <t>EBITDA (Resultado antes de depreciações, gastos de financiamento e impostos)</t>
  </si>
  <si>
    <t>Gastos/reversões de depreciação e amortização</t>
  </si>
  <si>
    <t>Imparidade de activos depreciáveis/amortizáveis (perdas/reversões)</t>
  </si>
  <si>
    <t>EBIT (Resultado Operacional)</t>
  </si>
  <si>
    <t>Juros e rendimentos similares obtidos</t>
  </si>
  <si>
    <t>Juros e gastos similares suportados</t>
  </si>
  <si>
    <t>RESULTADO ANTES DE IMPOSTOS</t>
  </si>
  <si>
    <t>Imposto sobre o rendimento do período</t>
  </si>
  <si>
    <t>RESULTADO LÍQUIDO DO PERÍODO</t>
  </si>
  <si>
    <t>Mapa de Cash Flows Operacionais</t>
  </si>
  <si>
    <t>Meios Libertos do Projecto</t>
  </si>
  <si>
    <t>Resultados Operacionais (EBIT) x (1-IRC)</t>
  </si>
  <si>
    <t>Provisões do exercício</t>
  </si>
  <si>
    <t>Investim./Desinvest. em Fundo Maneio</t>
  </si>
  <si>
    <t xml:space="preserve">   Fundo de Maneio</t>
  </si>
  <si>
    <t>CASH FLOW de Exploração</t>
  </si>
  <si>
    <t>Investim./Desinvest. em Capital Fixo</t>
  </si>
  <si>
    <t xml:space="preserve">   Capital Fixo</t>
  </si>
  <si>
    <t>Free cash-flow</t>
  </si>
  <si>
    <t>CASH FLOW acumulado</t>
  </si>
  <si>
    <t>Plano de Financiamento</t>
  </si>
  <si>
    <t>ORIGENS DE FUNDOS</t>
  </si>
  <si>
    <t>Meios Libertos Brutos</t>
  </si>
  <si>
    <t>Capital Social (entrada de fundos)</t>
  </si>
  <si>
    <t>Empréstimos Obtidos</t>
  </si>
  <si>
    <t>Desinvest. em Capital Fixo</t>
  </si>
  <si>
    <t>Desinvest. em FMN</t>
  </si>
  <si>
    <t>Proveitos Financeiros</t>
  </si>
  <si>
    <t>Total das Origens</t>
  </si>
  <si>
    <t>APLICAÇÕES DE FUNDOS</t>
  </si>
  <si>
    <t>Inv. Capital Fixo</t>
  </si>
  <si>
    <t>Inv Fundo de Maneio</t>
  </si>
  <si>
    <t xml:space="preserve">Imposto sobre os Lucros </t>
  </si>
  <si>
    <t xml:space="preserve">Pagamento de Dividendos </t>
  </si>
  <si>
    <t>Reembolso de Empréstimos</t>
  </si>
  <si>
    <t>Encargos Financeiros</t>
  </si>
  <si>
    <t>Total das Aplicações</t>
  </si>
  <si>
    <t>Saldo de Tesouraria Anual</t>
  </si>
  <si>
    <t>Saldo de Tesouraria Acumulado</t>
  </si>
  <si>
    <t>Aplicações / Empréstimo Curto Prazo</t>
  </si>
  <si>
    <t>Soma Controlo</t>
  </si>
  <si>
    <t>Balanço Previsional</t>
  </si>
  <si>
    <t>ACTIVO</t>
  </si>
  <si>
    <t>Activo Não Corrente</t>
  </si>
  <si>
    <t>Investimentos financeiros</t>
  </si>
  <si>
    <t>Activo corrente</t>
  </si>
  <si>
    <t>Estado e Outros Entes Públicos</t>
  </si>
  <si>
    <t>Accionistas/sócios</t>
  </si>
  <si>
    <t>Outras contas a receber</t>
  </si>
  <si>
    <t>Diferimentos</t>
  </si>
  <si>
    <t>Caixa e depósitos bancários</t>
  </si>
  <si>
    <t>TOTAL ACTIVO</t>
  </si>
  <si>
    <t>CAPITAL PRÓPRIO</t>
  </si>
  <si>
    <t>Capital realizado</t>
  </si>
  <si>
    <t>Acções (quotas próprias)</t>
  </si>
  <si>
    <t>Outros instrumentos de capital próprio</t>
  </si>
  <si>
    <t>Reservas</t>
  </si>
  <si>
    <t>Excedentes de revalorização</t>
  </si>
  <si>
    <t>Outras variações no capital próprio</t>
  </si>
  <si>
    <t>Resultado líquido do período</t>
  </si>
  <si>
    <t>TOTAL DO CAPITAL PRÓPRIO</t>
  </si>
  <si>
    <t>PASSIVO</t>
  </si>
  <si>
    <t>Passivo não corrente</t>
  </si>
  <si>
    <t>Provisões</t>
  </si>
  <si>
    <t>Financiamentos obtidos</t>
  </si>
  <si>
    <t>Outras Contas a pagar</t>
  </si>
  <si>
    <t>Passivo corrente</t>
  </si>
  <si>
    <t>Financiamentos Obtidos</t>
  </si>
  <si>
    <t>Outras contas a pagar</t>
  </si>
  <si>
    <t>TOTAL PASSIVO</t>
  </si>
  <si>
    <t>TOTAL PASSIVO + CAPITAIS PRÓPRIOS</t>
  </si>
  <si>
    <t>Principais Indicadores</t>
  </si>
  <si>
    <t>INDICADORES ECONÓMICOS</t>
  </si>
  <si>
    <t>Taxa de Crescimento do Negócio</t>
  </si>
  <si>
    <t>Rentabilidade Líquida sobre as vendas</t>
  </si>
  <si>
    <t>INDICADORES ECONÓMICOS - FINANCEIROS</t>
  </si>
  <si>
    <t>Return On Investment (ROI)</t>
  </si>
  <si>
    <t>Rendibilidade do Activo</t>
  </si>
  <si>
    <t>Rotação do Activo</t>
  </si>
  <si>
    <t>Rendibilidade dos Capitais Próprios (ROE)</t>
  </si>
  <si>
    <t>INDICADORES FINANCEIROS</t>
  </si>
  <si>
    <t>Autonomia Financeira</t>
  </si>
  <si>
    <t>Solvabilidade Total</t>
  </si>
  <si>
    <t>Cobertura dos encargos financeiros</t>
  </si>
  <si>
    <t>INDICADORES DE LIQUIDEZ</t>
  </si>
  <si>
    <t>Liquidez Corrente</t>
  </si>
  <si>
    <t>Liquidez Reduzida</t>
  </si>
  <si>
    <t>INDICADORES DE RISCO NEGÓCIO</t>
  </si>
  <si>
    <t>Grau de Alavanca Operacional</t>
  </si>
  <si>
    <t>Grau de Alavanca Financeira</t>
  </si>
  <si>
    <t>Avaliação do Projecto / Empresa</t>
  </si>
  <si>
    <t>Na perspectiva do Projecto (Pré-Financiamento = 100% CP)</t>
  </si>
  <si>
    <t>CF Acum</t>
  </si>
  <si>
    <t xml:space="preserve"> ' + 1. ou + 2. Por defeito    = 2.</t>
  </si>
  <si>
    <t>Ano 0</t>
  </si>
  <si>
    <t>Ano 1</t>
  </si>
  <si>
    <t>Ano 2</t>
  </si>
  <si>
    <r>
      <t xml:space="preserve">Taxa de atualização </t>
    </r>
    <r>
      <rPr>
        <sz val="8"/>
        <color indexed="12"/>
        <rFont val="Arial Narrow"/>
        <family val="2"/>
      </rPr>
      <t>Ru = RF+Bu*(Rm-Rf)</t>
    </r>
  </si>
  <si>
    <t>Ano 3</t>
  </si>
  <si>
    <t>Factor de actualização</t>
  </si>
  <si>
    <t>-</t>
  </si>
  <si>
    <t>Ano 4</t>
  </si>
  <si>
    <t>Ano 5</t>
  </si>
  <si>
    <t>Fluxos actualizados</t>
  </si>
  <si>
    <t>Fuxos atualizados acumulados</t>
  </si>
  <si>
    <t>Valor Residual ano N</t>
  </si>
  <si>
    <t>Valor Actual Líquido (VAL)</t>
  </si>
  <si>
    <r>
      <rPr>
        <b/>
        <sz val="9"/>
        <color indexed="10"/>
        <rFont val="Arial Narrow"/>
        <family val="2"/>
      </rPr>
      <t>1.</t>
    </r>
    <r>
      <rPr>
        <sz val="8"/>
        <color indexed="12"/>
        <rFont val="Arial Narrow"/>
        <family val="2"/>
      </rPr>
      <t xml:space="preserve"> PERPETUIDADE a crescer à taxa g</t>
    </r>
  </si>
  <si>
    <t>ou</t>
  </si>
  <si>
    <t>Taxa Interna de Rentibilidade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</si>
  <si>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(h12*(1+I11))</t>
    </r>
  </si>
  <si>
    <t>Pay Back period (arred ano inteiro)</t>
  </si>
  <si>
    <t>Anos</t>
  </si>
  <si>
    <t>Na perspectiva do Projecto Pós-Financiamento</t>
  </si>
  <si>
    <t>WACC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</si>
  <si>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(h32*(1+I31))</t>
    </r>
  </si>
  <si>
    <t>Pay Back period</t>
  </si>
  <si>
    <t>Na perspectiva do Investidor</t>
  </si>
  <si>
    <t>Free Cash Flow do Equity</t>
  </si>
  <si>
    <t>Taxa de juro de activos sem risco</t>
  </si>
  <si>
    <t>Prémio de risco de mercado</t>
  </si>
  <si>
    <t>Taxa de Actualização R = Rf + Bu*(Rm-Rf)</t>
  </si>
  <si>
    <t>Factor actualização</t>
  </si>
  <si>
    <t>Fluxos Actualizados</t>
  </si>
  <si>
    <t>Ano 6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</si>
  <si>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Cap Proprio N =</t>
    </r>
    <r>
      <rPr>
        <sz val="6"/>
        <color indexed="12"/>
        <rFont val="Arial Narrow"/>
        <family val="2"/>
      </rPr>
      <t>(Ativo não depreciado + F.Maneio -Passivo) /(h54*(1+I53))</t>
    </r>
  </si>
  <si>
    <t>Cálculo do WACC</t>
  </si>
  <si>
    <t>Passivo Remunerado</t>
  </si>
  <si>
    <t>Capital Próprio</t>
  </si>
  <si>
    <t>% Passivo remunerado</t>
  </si>
  <si>
    <t>% Capital Próprio</t>
  </si>
  <si>
    <r>
      <rPr>
        <sz val="8"/>
        <color indexed="12"/>
        <rFont val="Arial Narrow"/>
        <family val="2"/>
      </rPr>
      <t xml:space="preserve">Beta p = 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u * (1+(1-t)*CA/CP)</t>
    </r>
  </si>
  <si>
    <t>Custo</t>
  </si>
  <si>
    <t>Custo Financiamento</t>
  </si>
  <si>
    <t>Custo financiamento com efeito fiscal</t>
  </si>
  <si>
    <r>
      <t xml:space="preserve">Custo Capital </t>
    </r>
    <r>
      <rPr>
        <sz val="8"/>
        <color indexed="12"/>
        <rFont val="Arial Narrow"/>
        <family val="2"/>
      </rPr>
      <t>Rcp = Rf+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p*(Rm-Rf</t>
    </r>
    <r>
      <rPr>
        <sz val="8"/>
        <rFont val="Arial Narrow"/>
        <family val="2"/>
      </rPr>
      <t>)</t>
    </r>
  </si>
  <si>
    <t>Custo ponderado</t>
  </si>
  <si>
    <t>Cálculos Auxiliares</t>
  </si>
  <si>
    <t>Consumo de Unidades de Matérias-Primas por Unidade de Produto Acabado</t>
  </si>
  <si>
    <t>Matérias Primas e Subsidiárias (descriminação)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</si>
  <si>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</si>
  <si>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</si>
  <si>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</si>
  <si>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</si>
  <si>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</si>
  <si>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</si>
  <si>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</si>
  <si>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</si>
  <si>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Consumo de Matérias Primas 1*</t>
  </si>
  <si>
    <t>Matérias Primas e Subsidiárias</t>
  </si>
  <si>
    <t>Preço das Matérias Primas e Subsidiárias</t>
  </si>
  <si>
    <t xml:space="preserve">Matérias Primas e Subsidiárias </t>
  </si>
  <si>
    <t>Valor do consumo 2*</t>
  </si>
  <si>
    <t>1* obtido da  multiplicação da produção pelo consumo de matéria prima por unidade de produto acabado.</t>
  </si>
  <si>
    <t>2* obtido da multiplicação do consumo das matérias-primas pelo preço.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</si>
</sst>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&quot;$&quot;#,##0.00_);[Red]\(&quot;$&quot;#,##0.00\)"/>
    <numFmt numFmtId="165" formatCode="_-* #,##0.00\ _€_-;\-* #,##0.00\ _€_-;_-* &quot;-&quot;??\ _€_-;_-@_-"/>
    <numFmt numFmtId="166" formatCode="[$-816]mmm/yy;@"/>
    <numFmt numFmtId="167" formatCode="0_ ;[Red]\-0\ "/>
    <numFmt numFmtId="168" formatCode="0.0%"/>
    <numFmt numFmtId="169" formatCode="#,##0_ ;[Red]\-#,##0\ "/>
    <numFmt numFmtId="170" formatCode="0.000"/>
    <numFmt numFmtId="171" formatCode="#,##0.0"/>
    <numFmt numFmtId="172" formatCode="#,##0.00_ ;[Red]\-#,##0.00\ "/>
    <numFmt numFmtId="173" formatCode="0.0"/>
    <numFmt numFmtId="174" formatCode="#,##0_ ;\-#,##0\ "/>
    <numFmt numFmtId="175" formatCode="0.00000"/>
    <numFmt numFmtId="176" formatCode="0.000%"/>
  </numFmts>
  <fonts count="49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u/>
      <sz val="8"/>
      <name val="Arial Narrow"/>
      <family val="2"/>
    </font>
    <font>
      <b/>
      <sz val="8"/>
      <color indexed="12"/>
      <name val="Arial Narrow"/>
      <family val="2"/>
    </font>
    <font>
      <b/>
      <i/>
      <u/>
      <sz val="8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b/>
      <sz val="9"/>
      <color indexed="10"/>
      <name val="Arial Narrow"/>
      <family val="2"/>
    </font>
    <font>
      <b/>
      <i/>
      <sz val="8"/>
      <color indexed="12"/>
      <name val="Arial Narrow"/>
      <family val="2"/>
    </font>
    <font>
      <b/>
      <sz val="10"/>
      <color indexed="12"/>
      <name val="Arial Narrow"/>
      <family val="2"/>
    </font>
    <font>
      <sz val="6"/>
      <color indexed="12"/>
      <name val="Arial Narrow"/>
      <family val="2"/>
    </font>
    <font>
      <i/>
      <u/>
      <sz val="8"/>
      <color indexed="12"/>
      <name val="Arial Narrow"/>
      <family val="2"/>
    </font>
    <font>
      <sz val="10"/>
      <name val="Arial"/>
      <family val="2"/>
    </font>
    <font>
      <b/>
      <i/>
      <sz val="12"/>
      <name val="Arial Narrow"/>
      <family val="2"/>
    </font>
    <font>
      <sz val="10"/>
      <color indexed="12"/>
      <name val="Arial Narrow"/>
      <family val="2"/>
    </font>
    <font>
      <b/>
      <sz val="8"/>
      <color rgb="FF002060"/>
      <name val="Arial Narrow"/>
      <family val="2"/>
    </font>
    <font>
      <sz val="8"/>
      <color rgb="FF002060"/>
      <name val="Arial Narrow"/>
      <family val="2"/>
    </font>
    <font>
      <sz val="8"/>
      <color rgb="FF0000CC"/>
      <name val="Arial Narrow"/>
      <family val="2"/>
    </font>
    <font>
      <b/>
      <sz val="8"/>
      <color rgb="FF0000CC"/>
      <name val="Arial Narrow"/>
      <family val="2"/>
    </font>
    <font>
      <b/>
      <sz val="9"/>
      <color rgb="FFFF0000"/>
      <name val="Arial Narrow"/>
      <family val="2"/>
    </font>
    <font>
      <sz val="9"/>
      <color rgb="FFFF0000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524">
    <xf numFmtId="0" fontId="0" fillId="0" borderId="0" xfId="0"/>
    <xf numFmtId="0" fontId="21" fillId="0" borderId="0" xfId="0" applyFont="1" applyProtection="1">
      <protection hidden="1"/>
    </xf>
    <xf numFmtId="0" fontId="5" fillId="0" borderId="0" xfId="0" applyFont="1" applyProtection="1">
      <protection hidden="1"/>
    </xf>
    <xf numFmtId="169" fontId="5" fillId="0" borderId="2" xfId="0" applyNumberFormat="1" applyFont="1" applyBorder="1" applyProtection="1">
      <protection locked="0"/>
    </xf>
    <xf numFmtId="0" fontId="6" fillId="2" borderId="3" xfId="0" applyFont="1" applyFill="1" applyBorder="1" applyAlignment="1" applyProtection="1">
      <alignment horizontal="left"/>
      <protection hidden="1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Border="1" applyAlignment="1" applyProtection="1">
      <alignment horizontal="right" vertical="center"/>
      <protection locked="0"/>
    </xf>
    <xf numFmtId="0" fontId="6" fillId="0" borderId="0" xfId="0" applyFont="1" applyProtection="1">
      <protection hidden="1"/>
    </xf>
    <xf numFmtId="4" fontId="14" fillId="0" borderId="2" xfId="5" applyNumberFormat="1" applyFont="1" applyFill="1" applyBorder="1" applyAlignment="1" applyProtection="1">
      <alignment horizontal="center"/>
      <protection locked="0"/>
    </xf>
    <xf numFmtId="0" fontId="25" fillId="0" borderId="0" xfId="2" applyFont="1" applyProtection="1">
      <protection hidden="1"/>
    </xf>
    <xf numFmtId="0" fontId="24" fillId="0" borderId="0" xfId="2" applyFont="1" applyAlignment="1" applyProtection="1">
      <alignment horizontal="left"/>
      <protection hidden="1"/>
    </xf>
    <xf numFmtId="0" fontId="24" fillId="0" borderId="0" xfId="2" applyFont="1" applyProtection="1">
      <protection hidden="1"/>
    </xf>
    <xf numFmtId="0" fontId="5" fillId="0" borderId="0" xfId="2" applyFont="1" applyProtection="1">
      <protection hidden="1"/>
    </xf>
    <xf numFmtId="0" fontId="1" fillId="3" borderId="0" xfId="2" applyFill="1" applyProtection="1">
      <protection hidden="1"/>
    </xf>
    <xf numFmtId="0" fontId="24" fillId="0" borderId="0" xfId="2" applyFont="1" applyAlignment="1" applyProtection="1">
      <alignment vertical="center" wrapText="1"/>
      <protection hidden="1"/>
    </xf>
    <xf numFmtId="0" fontId="8" fillId="4" borderId="2" xfId="2" applyFont="1" applyFill="1" applyBorder="1" applyAlignment="1" applyProtection="1">
      <alignment horizontal="center" vertical="center"/>
      <protection hidden="1"/>
    </xf>
    <xf numFmtId="0" fontId="5" fillId="3" borderId="0" xfId="0" applyFont="1" applyFill="1" applyProtection="1">
      <protection hidden="1"/>
    </xf>
    <xf numFmtId="2" fontId="5" fillId="3" borderId="0" xfId="5" applyNumberFormat="1" applyFont="1" applyFill="1" applyBorder="1" applyProtection="1">
      <protection hidden="1"/>
    </xf>
    <xf numFmtId="0" fontId="5" fillId="3" borderId="0" xfId="0" applyFont="1" applyFill="1" applyAlignment="1" applyProtection="1">
      <alignment wrapText="1"/>
      <protection hidden="1"/>
    </xf>
    <xf numFmtId="10" fontId="5" fillId="3" borderId="0" xfId="5" applyNumberFormat="1" applyFont="1" applyFill="1" applyBorder="1" applyProtection="1">
      <protection hidden="1"/>
    </xf>
    <xf numFmtId="9" fontId="5" fillId="3" borderId="0" xfId="0" applyNumberFormat="1" applyFont="1" applyFill="1" applyProtection="1">
      <protection hidden="1"/>
    </xf>
    <xf numFmtId="0" fontId="7" fillId="0" borderId="0" xfId="0" applyFont="1" applyProtection="1">
      <protection hidden="1"/>
    </xf>
    <xf numFmtId="0" fontId="20" fillId="0" borderId="0" xfId="0" applyFont="1" applyProtection="1">
      <protection hidden="1"/>
    </xf>
    <xf numFmtId="9" fontId="5" fillId="0" borderId="0" xfId="5" applyFont="1" applyFill="1" applyProtection="1">
      <protection hidden="1"/>
    </xf>
    <xf numFmtId="2" fontId="5" fillId="0" borderId="0" xfId="5" applyNumberFormat="1" applyFont="1" applyFill="1" applyProtection="1">
      <protection hidden="1"/>
    </xf>
    <xf numFmtId="0" fontId="5" fillId="0" borderId="0" xfId="0" applyFont="1" applyAlignment="1" applyProtection="1">
      <alignment wrapText="1"/>
      <protection hidden="1"/>
    </xf>
    <xf numFmtId="2" fontId="5" fillId="0" borderId="0" xfId="5" applyNumberFormat="1" applyFont="1" applyFill="1" applyBorder="1" applyProtection="1">
      <protection hidden="1"/>
    </xf>
    <xf numFmtId="0" fontId="7" fillId="5" borderId="0" xfId="0" applyFont="1" applyFill="1" applyAlignment="1" applyProtection="1">
      <alignment horizontal="right"/>
      <protection hidden="1"/>
    </xf>
    <xf numFmtId="10" fontId="14" fillId="0" borderId="2" xfId="5" applyNumberFormat="1" applyFont="1" applyFill="1" applyBorder="1" applyAlignment="1" applyProtection="1">
      <alignment horizontal="center" vertical="center"/>
      <protection locked="0"/>
    </xf>
    <xf numFmtId="169" fontId="5" fillId="0" borderId="2" xfId="0" applyNumberFormat="1" applyFont="1" applyBorder="1" applyAlignment="1" applyProtection="1">
      <alignment vertical="center"/>
      <protection locked="0"/>
    </xf>
    <xf numFmtId="10" fontId="14" fillId="0" borderId="2" xfId="5" applyNumberFormat="1" applyFont="1" applyFill="1" applyBorder="1" applyAlignment="1" applyProtection="1">
      <alignment horizontal="right" vertical="center"/>
      <protection locked="0"/>
    </xf>
    <xf numFmtId="169" fontId="5" fillId="0" borderId="4" xfId="0" applyNumberFormat="1" applyFont="1" applyBorder="1" applyAlignment="1" applyProtection="1">
      <alignment vertical="center"/>
      <protection locked="0"/>
    </xf>
    <xf numFmtId="167" fontId="14" fillId="0" borderId="4" xfId="0" applyNumberFormat="1" applyFont="1" applyBorder="1" applyAlignment="1" applyProtection="1">
      <alignment horizontal="center" vertical="center"/>
      <protection locked="0"/>
    </xf>
    <xf numFmtId="169" fontId="6" fillId="2" borderId="2" xfId="0" applyNumberFormat="1" applyFont="1" applyFill="1" applyBorder="1" applyAlignment="1">
      <alignment vertical="center"/>
    </xf>
    <xf numFmtId="169" fontId="6" fillId="2" borderId="5" xfId="0" applyNumberFormat="1" applyFont="1" applyFill="1" applyBorder="1"/>
    <xf numFmtId="167" fontId="5" fillId="0" borderId="4" xfId="0" applyNumberFormat="1" applyFont="1" applyBorder="1" applyAlignment="1" applyProtection="1">
      <alignment horizontal="center" vertical="center"/>
      <protection locked="0"/>
    </xf>
    <xf numFmtId="9" fontId="14" fillId="0" borderId="2" xfId="5" applyFont="1" applyFill="1" applyBorder="1" applyAlignment="1" applyProtection="1">
      <alignment horizontal="center"/>
      <protection locked="0"/>
    </xf>
    <xf numFmtId="167" fontId="5" fillId="0" borderId="2" xfId="0" applyNumberFormat="1" applyFont="1" applyBorder="1" applyAlignment="1" applyProtection="1">
      <alignment horizontal="center" vertical="center"/>
      <protection locked="0"/>
    </xf>
    <xf numFmtId="3" fontId="5" fillId="0" borderId="2" xfId="0" applyNumberFormat="1" applyFont="1" applyBorder="1" applyAlignment="1" applyProtection="1">
      <alignment horizontal="right" vertical="center"/>
      <protection locked="0"/>
    </xf>
    <xf numFmtId="3" fontId="5" fillId="0" borderId="4" xfId="0" applyNumberFormat="1" applyFont="1" applyBorder="1" applyAlignment="1" applyProtection="1">
      <alignment horizontal="right" vertical="center"/>
      <protection locked="0"/>
    </xf>
    <xf numFmtId="0" fontId="5" fillId="0" borderId="3" xfId="0" applyFont="1" applyBorder="1" applyProtection="1">
      <protection locked="0"/>
    </xf>
    <xf numFmtId="0" fontId="5" fillId="0" borderId="6" xfId="0" applyFont="1" applyBorder="1" applyProtection="1">
      <protection locked="0"/>
    </xf>
    <xf numFmtId="169" fontId="30" fillId="0" borderId="2" xfId="3" applyNumberFormat="1" applyFont="1" applyBorder="1" applyProtection="1">
      <protection locked="0"/>
    </xf>
    <xf numFmtId="3" fontId="5" fillId="0" borderId="7" xfId="5" applyNumberFormat="1" applyFont="1" applyFill="1" applyBorder="1" applyAlignment="1" applyProtection="1">
      <alignment horizontal="right" vertical="center"/>
      <protection locked="0"/>
    </xf>
    <xf numFmtId="9" fontId="5" fillId="0" borderId="0" xfId="5" applyFont="1" applyFill="1" applyBorder="1" applyProtection="1">
      <protection hidden="1"/>
    </xf>
    <xf numFmtId="3" fontId="5" fillId="0" borderId="2" xfId="0" applyNumberFormat="1" applyFont="1" applyBorder="1" applyProtection="1">
      <protection locked="0"/>
    </xf>
    <xf numFmtId="0" fontId="10" fillId="0" borderId="0" xfId="0" applyFont="1"/>
    <xf numFmtId="0" fontId="9" fillId="0" borderId="0" xfId="0" applyFont="1"/>
    <xf numFmtId="0" fontId="7" fillId="5" borderId="0" xfId="0" applyFont="1" applyFill="1"/>
    <xf numFmtId="0" fontId="4" fillId="5" borderId="0" xfId="0" applyFont="1" applyFill="1" applyAlignment="1">
      <alignment horizontal="right"/>
    </xf>
    <xf numFmtId="0" fontId="10" fillId="3" borderId="0" xfId="0" applyFont="1" applyFill="1"/>
    <xf numFmtId="0" fontId="8" fillId="0" borderId="0" xfId="0" applyFont="1"/>
    <xf numFmtId="0" fontId="5" fillId="0" borderId="0" xfId="0" applyFont="1" applyAlignment="1">
      <alignment horizontal="right"/>
    </xf>
    <xf numFmtId="0" fontId="11" fillId="0" borderId="0" xfId="0" applyFont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5" fillId="0" borderId="0" xfId="0" applyFont="1"/>
    <xf numFmtId="0" fontId="5" fillId="2" borderId="3" xfId="0" applyFont="1" applyFill="1" applyBorder="1" applyAlignment="1">
      <alignment horizontal="left" indent="1"/>
    </xf>
    <xf numFmtId="171" fontId="5" fillId="2" borderId="8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169" fontId="6" fillId="0" borderId="0" xfId="0" applyNumberFormat="1" applyFont="1"/>
    <xf numFmtId="0" fontId="11" fillId="2" borderId="5" xfId="0" applyFont="1" applyFill="1" applyBorder="1" applyAlignment="1">
      <alignment horizontal="center"/>
    </xf>
    <xf numFmtId="0" fontId="26" fillId="0" borderId="0" xfId="0" applyFont="1" applyAlignment="1">
      <alignment horizontal="left"/>
    </xf>
    <xf numFmtId="0" fontId="16" fillId="0" borderId="0" xfId="0" applyFont="1"/>
    <xf numFmtId="171" fontId="6" fillId="0" borderId="0" xfId="0" applyNumberFormat="1" applyFont="1" applyAlignment="1">
      <alignment vertical="center"/>
    </xf>
    <xf numFmtId="169" fontId="6" fillId="0" borderId="0" xfId="0" applyNumberFormat="1" applyFont="1" applyAlignment="1">
      <alignment vertical="center"/>
    </xf>
    <xf numFmtId="0" fontId="5" fillId="3" borderId="0" xfId="0" applyFont="1" applyFill="1"/>
    <xf numFmtId="0" fontId="6" fillId="2" borderId="3" xfId="0" applyFont="1" applyFill="1" applyBorder="1" applyAlignment="1">
      <alignment horizontal="left"/>
    </xf>
    <xf numFmtId="171" fontId="6" fillId="0" borderId="0" xfId="0" applyNumberFormat="1" applyFont="1" applyAlignment="1">
      <alignment horizontal="left" vertical="center"/>
    </xf>
    <xf numFmtId="171" fontId="6" fillId="0" borderId="0" xfId="0" applyNumberFormat="1" applyFont="1" applyAlignment="1">
      <alignment horizontal="center" vertical="center"/>
    </xf>
    <xf numFmtId="167" fontId="6" fillId="2" borderId="2" xfId="0" applyNumberFormat="1" applyFont="1" applyFill="1" applyBorder="1" applyAlignment="1">
      <alignment horizontal="center"/>
    </xf>
    <xf numFmtId="169" fontId="6" fillId="2" borderId="2" xfId="0" applyNumberFormat="1" applyFont="1" applyFill="1" applyBorder="1"/>
    <xf numFmtId="0" fontId="11" fillId="2" borderId="5" xfId="0" applyFont="1" applyFill="1" applyBorder="1" applyAlignment="1">
      <alignment horizontal="left"/>
    </xf>
    <xf numFmtId="9" fontId="14" fillId="0" borderId="0" xfId="5" applyFont="1" applyFill="1" applyBorder="1" applyAlignment="1">
      <alignment horizontal="center" vertical="center"/>
    </xf>
    <xf numFmtId="0" fontId="11" fillId="2" borderId="9" xfId="0" applyFont="1" applyFill="1" applyBorder="1"/>
    <xf numFmtId="0" fontId="6" fillId="2" borderId="8" xfId="0" applyFont="1" applyFill="1" applyBorder="1" applyAlignment="1">
      <alignment horizontal="center"/>
    </xf>
    <xf numFmtId="169" fontId="6" fillId="0" borderId="2" xfId="0" applyNumberFormat="1" applyFont="1" applyBorder="1" applyProtection="1">
      <protection locked="0"/>
    </xf>
    <xf numFmtId="0" fontId="11" fillId="2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left"/>
    </xf>
    <xf numFmtId="10" fontId="14" fillId="2" borderId="2" xfId="5" applyNumberFormat="1" applyFont="1" applyFill="1" applyBorder="1" applyAlignment="1">
      <alignment horizontal="right" vertical="center"/>
    </xf>
    <xf numFmtId="169" fontId="5" fillId="2" borderId="5" xfId="0" applyNumberFormat="1" applyFont="1" applyFill="1" applyBorder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indent="1"/>
    </xf>
    <xf numFmtId="0" fontId="26" fillId="3" borderId="0" xfId="0" applyFont="1" applyFill="1" applyAlignment="1">
      <alignment horizontal="left"/>
    </xf>
    <xf numFmtId="0" fontId="4" fillId="0" borderId="0" xfId="0" applyFont="1"/>
    <xf numFmtId="0" fontId="7" fillId="5" borderId="0" xfId="0" applyFont="1" applyFill="1" applyAlignment="1">
      <alignment horizontal="left"/>
    </xf>
    <xf numFmtId="0" fontId="4" fillId="5" borderId="0" xfId="0" applyFont="1" applyFill="1"/>
    <xf numFmtId="0" fontId="6" fillId="2" borderId="10" xfId="0" applyFont="1" applyFill="1" applyBorder="1" applyAlignment="1">
      <alignment horizontal="center"/>
    </xf>
    <xf numFmtId="0" fontId="6" fillId="2" borderId="3" xfId="0" applyFont="1" applyFill="1" applyBorder="1"/>
    <xf numFmtId="0" fontId="6" fillId="2" borderId="10" xfId="0" applyFont="1" applyFill="1" applyBorder="1"/>
    <xf numFmtId="0" fontId="5" fillId="2" borderId="10" xfId="0" applyFont="1" applyFill="1" applyBorder="1"/>
    <xf numFmtId="0" fontId="5" fillId="2" borderId="8" xfId="0" applyFont="1" applyFill="1" applyBorder="1"/>
    <xf numFmtId="9" fontId="14" fillId="2" borderId="2" xfId="5" applyFont="1" applyFill="1" applyBorder="1" applyAlignment="1">
      <alignment horizontal="center" vertical="center"/>
    </xf>
    <xf numFmtId="0" fontId="5" fillId="2" borderId="2" xfId="0" applyFont="1" applyFill="1" applyBorder="1"/>
    <xf numFmtId="38" fontId="5" fillId="2" borderId="2" xfId="0" applyNumberFormat="1" applyFont="1" applyFill="1" applyBorder="1"/>
    <xf numFmtId="167" fontId="14" fillId="2" borderId="4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38" fontId="12" fillId="0" borderId="0" xfId="0" applyNumberFormat="1" applyFont="1"/>
    <xf numFmtId="38" fontId="5" fillId="0" borderId="0" xfId="0" applyNumberFormat="1" applyFont="1" applyAlignment="1">
      <alignment horizontal="center"/>
    </xf>
    <xf numFmtId="0" fontId="5" fillId="2" borderId="3" xfId="0" applyFont="1" applyFill="1" applyBorder="1"/>
    <xf numFmtId="0" fontId="6" fillId="0" borderId="10" xfId="0" applyFont="1" applyBorder="1"/>
    <xf numFmtId="0" fontId="5" fillId="0" borderId="10" xfId="0" applyFont="1" applyBorder="1"/>
    <xf numFmtId="0" fontId="6" fillId="0" borderId="11" xfId="0" applyFont="1" applyBorder="1"/>
    <xf numFmtId="0" fontId="5" fillId="0" borderId="11" xfId="0" applyFont="1" applyBorder="1"/>
    <xf numFmtId="167" fontId="6" fillId="2" borderId="5" xfId="0" applyNumberFormat="1" applyFont="1" applyFill="1" applyBorder="1" applyAlignment="1">
      <alignment horizontal="center" vertical="center"/>
    </xf>
    <xf numFmtId="3" fontId="5" fillId="2" borderId="2" xfId="0" applyNumberFormat="1" applyFont="1" applyFill="1" applyBorder="1" applyAlignment="1">
      <alignment horizontal="right" vertical="center"/>
    </xf>
    <xf numFmtId="0" fontId="6" fillId="2" borderId="11" xfId="0" applyFont="1" applyFill="1" applyBorder="1"/>
    <xf numFmtId="0" fontId="5" fillId="2" borderId="11" xfId="0" applyFont="1" applyFill="1" applyBorder="1"/>
    <xf numFmtId="38" fontId="5" fillId="0" borderId="0" xfId="0" applyNumberFormat="1" applyFont="1" applyAlignment="1">
      <alignment horizontal="left"/>
    </xf>
    <xf numFmtId="38" fontId="5" fillId="0" borderId="0" xfId="0" applyNumberFormat="1" applyFont="1"/>
    <xf numFmtId="38" fontId="14" fillId="0" borderId="0" xfId="0" applyNumberFormat="1" applyFont="1"/>
    <xf numFmtId="169" fontId="5" fillId="0" borderId="0" xfId="0" applyNumberFormat="1" applyFont="1" applyAlignment="1">
      <alignment vertical="center"/>
    </xf>
    <xf numFmtId="169" fontId="5" fillId="2" borderId="2" xfId="0" applyNumberFormat="1" applyFont="1" applyFill="1" applyBorder="1" applyAlignment="1">
      <alignment horizontal="right" vertical="center"/>
    </xf>
    <xf numFmtId="169" fontId="6" fillId="2" borderId="5" xfId="0" applyNumberFormat="1" applyFont="1" applyFill="1" applyBorder="1" applyAlignment="1">
      <alignment horizontal="right" vertical="center"/>
    </xf>
    <xf numFmtId="169" fontId="5" fillId="0" borderId="0" xfId="0" applyNumberFormat="1" applyFont="1"/>
    <xf numFmtId="0" fontId="5" fillId="2" borderId="3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indent="1"/>
    </xf>
    <xf numFmtId="10" fontId="5" fillId="2" borderId="2" xfId="5" applyNumberFormat="1" applyFont="1" applyFill="1" applyBorder="1" applyAlignment="1">
      <alignment horizontal="center"/>
    </xf>
    <xf numFmtId="169" fontId="5" fillId="2" borderId="2" xfId="0" applyNumberFormat="1" applyFont="1" applyFill="1" applyBorder="1"/>
    <xf numFmtId="38" fontId="5" fillId="2" borderId="3" xfId="0" applyNumberFormat="1" applyFont="1" applyFill="1" applyBorder="1"/>
    <xf numFmtId="38" fontId="5" fillId="2" borderId="8" xfId="0" applyNumberFormat="1" applyFont="1" applyFill="1" applyBorder="1"/>
    <xf numFmtId="169" fontId="5" fillId="2" borderId="8" xfId="0" applyNumberFormat="1" applyFont="1" applyFill="1" applyBorder="1" applyAlignment="1">
      <alignment vertical="center"/>
    </xf>
    <xf numFmtId="0" fontId="5" fillId="2" borderId="0" xfId="0" applyFont="1" applyFill="1"/>
    <xf numFmtId="9" fontId="5" fillId="2" borderId="0" xfId="5" applyFont="1" applyFill="1" applyBorder="1" applyAlignment="1">
      <alignment horizontal="left"/>
    </xf>
    <xf numFmtId="0" fontId="5" fillId="2" borderId="6" xfId="0" applyFont="1" applyFill="1" applyBorder="1"/>
    <xf numFmtId="9" fontId="5" fillId="2" borderId="8" xfId="5" applyFont="1" applyFill="1" applyBorder="1" applyAlignment="1">
      <alignment horizontal="left"/>
    </xf>
    <xf numFmtId="0" fontId="5" fillId="2" borderId="10" xfId="0" applyFont="1" applyFill="1" applyBorder="1" applyAlignment="1">
      <alignment horizontal="left" indent="1"/>
    </xf>
    <xf numFmtId="9" fontId="5" fillId="2" borderId="12" xfId="5" applyFont="1" applyFill="1" applyBorder="1" applyAlignment="1">
      <alignment horizontal="left"/>
    </xf>
    <xf numFmtId="38" fontId="6" fillId="0" borderId="0" xfId="0" applyNumberFormat="1" applyFont="1"/>
    <xf numFmtId="9" fontId="5" fillId="3" borderId="0" xfId="5" applyFont="1" applyFill="1" applyBorder="1" applyAlignment="1">
      <alignment horizontal="left"/>
    </xf>
    <xf numFmtId="169" fontId="5" fillId="3" borderId="0" xfId="0" applyNumberFormat="1" applyFont="1" applyFill="1"/>
    <xf numFmtId="0" fontId="5" fillId="3" borderId="0" xfId="0" applyFont="1" applyFill="1" applyAlignment="1">
      <alignment horizontal="left" indent="1"/>
    </xf>
    <xf numFmtId="167" fontId="5" fillId="2" borderId="4" xfId="0" applyNumberFormat="1" applyFont="1" applyFill="1" applyBorder="1" applyAlignment="1">
      <alignment horizontal="center" vertical="center"/>
    </xf>
    <xf numFmtId="38" fontId="5" fillId="2" borderId="10" xfId="0" applyNumberFormat="1" applyFont="1" applyFill="1" applyBorder="1"/>
    <xf numFmtId="1" fontId="5" fillId="2" borderId="2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right" vertical="center"/>
    </xf>
    <xf numFmtId="3" fontId="5" fillId="2" borderId="2" xfId="0" applyNumberFormat="1" applyFont="1" applyFill="1" applyBorder="1" applyAlignment="1">
      <alignment horizontal="center"/>
    </xf>
    <xf numFmtId="3" fontId="5" fillId="2" borderId="2" xfId="0" applyNumberFormat="1" applyFont="1" applyFill="1" applyBorder="1"/>
    <xf numFmtId="3" fontId="6" fillId="2" borderId="5" xfId="0" applyNumberFormat="1" applyFont="1" applyFill="1" applyBorder="1" applyAlignment="1">
      <alignment horizontal="right" vertical="center"/>
    </xf>
    <xf numFmtId="3" fontId="5" fillId="0" borderId="13" xfId="0" applyNumberFormat="1" applyFont="1" applyBorder="1" applyAlignment="1">
      <alignment horizontal="center"/>
    </xf>
    <xf numFmtId="3" fontId="5" fillId="0" borderId="13" xfId="0" applyNumberFormat="1" applyFont="1" applyBorder="1"/>
    <xf numFmtId="0" fontId="6" fillId="2" borderId="9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 indent="2"/>
    </xf>
    <xf numFmtId="0" fontId="6" fillId="0" borderId="15" xfId="0" applyFont="1" applyBorder="1" applyAlignment="1">
      <alignment horizontal="left"/>
    </xf>
    <xf numFmtId="0" fontId="5" fillId="0" borderId="13" xfId="0" applyFont="1" applyBorder="1" applyAlignment="1">
      <alignment horizontal="left" indent="2"/>
    </xf>
    <xf numFmtId="0" fontId="27" fillId="0" borderId="0" xfId="0" applyFont="1"/>
    <xf numFmtId="3" fontId="5" fillId="0" borderId="0" xfId="0" applyNumberFormat="1" applyFont="1"/>
    <xf numFmtId="3" fontId="5" fillId="3" borderId="0" xfId="0" applyNumberFormat="1" applyFont="1" applyFill="1"/>
    <xf numFmtId="0" fontId="11" fillId="0" borderId="0" xfId="3" applyFont="1" applyAlignment="1">
      <alignment horizontal="center"/>
    </xf>
    <xf numFmtId="0" fontId="5" fillId="3" borderId="0" xfId="3" applyFont="1" applyFill="1"/>
    <xf numFmtId="0" fontId="6" fillId="0" borderId="13" xfId="4" applyFont="1" applyBorder="1" applyAlignment="1">
      <alignment horizontal="center" vertical="center"/>
    </xf>
    <xf numFmtId="0" fontId="6" fillId="0" borderId="0" xfId="4" applyFont="1" applyAlignment="1">
      <alignment horizontal="center" vertical="center"/>
    </xf>
    <xf numFmtId="0" fontId="6" fillId="2" borderId="2" xfId="3" applyFont="1" applyFill="1" applyBorder="1" applyAlignment="1">
      <alignment horizontal="center"/>
    </xf>
    <xf numFmtId="0" fontId="6" fillId="2" borderId="3" xfId="3" applyFont="1" applyFill="1" applyBorder="1"/>
    <xf numFmtId="0" fontId="5" fillId="2" borderId="8" xfId="3" applyFont="1" applyFill="1" applyBorder="1"/>
    <xf numFmtId="0" fontId="5" fillId="2" borderId="3" xfId="3" applyFont="1" applyFill="1" applyBorder="1"/>
    <xf numFmtId="3" fontId="14" fillId="2" borderId="2" xfId="3" applyNumberFormat="1" applyFont="1" applyFill="1" applyBorder="1"/>
    <xf numFmtId="3" fontId="6" fillId="2" borderId="2" xfId="3" applyNumberFormat="1" applyFont="1" applyFill="1" applyBorder="1"/>
    <xf numFmtId="3" fontId="6" fillId="2" borderId="5" xfId="3" applyNumberFormat="1" applyFont="1" applyFill="1" applyBorder="1" applyAlignment="1">
      <alignment horizontal="right"/>
    </xf>
    <xf numFmtId="169" fontId="6" fillId="0" borderId="0" xfId="3" applyNumberFormat="1" applyFont="1" applyAlignment="1">
      <alignment horizontal="left" vertical="center"/>
    </xf>
    <xf numFmtId="3" fontId="6" fillId="0" borderId="0" xfId="3" applyNumberFormat="1" applyFont="1" applyAlignment="1">
      <alignment horizontal="right"/>
    </xf>
    <xf numFmtId="169" fontId="6" fillId="2" borderId="9" xfId="3" applyNumberFormat="1" applyFont="1" applyFill="1" applyBorder="1" applyAlignment="1">
      <alignment vertical="center"/>
    </xf>
    <xf numFmtId="0" fontId="13" fillId="0" borderId="0" xfId="3" applyFont="1"/>
    <xf numFmtId="0" fontId="5" fillId="0" borderId="0" xfId="3" applyFont="1"/>
    <xf numFmtId="169" fontId="5" fillId="0" borderId="0" xfId="3" applyNumberFormat="1" applyFont="1"/>
    <xf numFmtId="3" fontId="30" fillId="2" borderId="2" xfId="3" applyNumberFormat="1" applyFont="1" applyFill="1" applyBorder="1"/>
    <xf numFmtId="0" fontId="11" fillId="2" borderId="3" xfId="3" applyFont="1" applyFill="1" applyBorder="1" applyAlignment="1">
      <alignment horizontal="center"/>
    </xf>
    <xf numFmtId="0" fontId="11" fillId="2" borderId="8" xfId="3" applyFont="1" applyFill="1" applyBorder="1" applyAlignment="1">
      <alignment horizontal="center"/>
    </xf>
    <xf numFmtId="0" fontId="6" fillId="2" borderId="9" xfId="0" applyFont="1" applyFill="1" applyBorder="1"/>
    <xf numFmtId="0" fontId="5" fillId="2" borderId="16" xfId="0" applyFont="1" applyFill="1" applyBorder="1"/>
    <xf numFmtId="0" fontId="5" fillId="0" borderId="0" xfId="0" applyFont="1" applyAlignment="1">
      <alignment horizontal="fill"/>
    </xf>
    <xf numFmtId="168" fontId="5" fillId="0" borderId="0" xfId="0" applyNumberFormat="1" applyFont="1"/>
    <xf numFmtId="171" fontId="5" fillId="0" borderId="0" xfId="0" applyNumberFormat="1" applyFont="1"/>
    <xf numFmtId="0" fontId="6" fillId="0" borderId="0" xfId="0" applyFont="1"/>
    <xf numFmtId="3" fontId="5" fillId="2" borderId="4" xfId="0" applyNumberFormat="1" applyFont="1" applyFill="1" applyBorder="1"/>
    <xf numFmtId="9" fontId="5" fillId="2" borderId="17" xfId="5" applyFont="1" applyFill="1" applyBorder="1" applyAlignment="1">
      <alignment horizontal="right" vertical="center"/>
    </xf>
    <xf numFmtId="9" fontId="5" fillId="2" borderId="2" xfId="5" applyFont="1" applyFill="1" applyBorder="1" applyAlignment="1">
      <alignment horizontal="right" vertical="center"/>
    </xf>
    <xf numFmtId="0" fontId="5" fillId="2" borderId="17" xfId="0" applyFont="1" applyFill="1" applyBorder="1"/>
    <xf numFmtId="3" fontId="5" fillId="2" borderId="8" xfId="0" applyNumberFormat="1" applyFont="1" applyFill="1" applyBorder="1"/>
    <xf numFmtId="3" fontId="5" fillId="2" borderId="6" xfId="0" applyNumberFormat="1" applyFont="1" applyFill="1" applyBorder="1"/>
    <xf numFmtId="3" fontId="5" fillId="2" borderId="12" xfId="0" applyNumberFormat="1" applyFont="1" applyFill="1" applyBorder="1"/>
    <xf numFmtId="9" fontId="5" fillId="2" borderId="18" xfId="5" applyFont="1" applyFill="1" applyBorder="1" applyAlignment="1">
      <alignment horizontal="right" vertical="center"/>
    </xf>
    <xf numFmtId="9" fontId="5" fillId="2" borderId="0" xfId="5" applyFont="1" applyFill="1" applyBorder="1" applyAlignment="1">
      <alignment horizontal="right" vertical="center"/>
    </xf>
    <xf numFmtId="0" fontId="5" fillId="2" borderId="18" xfId="0" applyFont="1" applyFill="1" applyBorder="1"/>
    <xf numFmtId="3" fontId="5" fillId="2" borderId="0" xfId="0" applyNumberFormat="1" applyFont="1" applyFill="1"/>
    <xf numFmtId="3" fontId="5" fillId="2" borderId="11" xfId="0" applyNumberFormat="1" applyFont="1" applyFill="1" applyBorder="1"/>
    <xf numFmtId="0" fontId="6" fillId="0" borderId="0" xfId="0" applyFont="1" applyAlignment="1">
      <alignment horizontal="left"/>
    </xf>
    <xf numFmtId="166" fontId="5" fillId="0" borderId="0" xfId="0" applyNumberFormat="1" applyFont="1" applyAlignment="1">
      <alignment horizontal="center" vertical="center"/>
    </xf>
    <xf numFmtId="0" fontId="6" fillId="2" borderId="14" xfId="0" applyFont="1" applyFill="1" applyBorder="1" applyAlignment="1">
      <alignment horizontal="left"/>
    </xf>
    <xf numFmtId="3" fontId="9" fillId="0" borderId="0" xfId="5" applyNumberFormat="1" applyFont="1" applyFill="1" applyBorder="1" applyAlignment="1"/>
    <xf numFmtId="0" fontId="18" fillId="0" borderId="0" xfId="0" applyFont="1"/>
    <xf numFmtId="0" fontId="18" fillId="3" borderId="0" xfId="0" applyFont="1" applyFill="1"/>
    <xf numFmtId="0" fontId="5" fillId="2" borderId="15" xfId="0" applyFont="1" applyFill="1" applyBorder="1" applyAlignment="1">
      <alignment horizontal="left" indent="1"/>
    </xf>
    <xf numFmtId="38" fontId="5" fillId="2" borderId="8" xfId="1" applyNumberFormat="1" applyFont="1" applyFill="1" applyBorder="1" applyProtection="1"/>
    <xf numFmtId="0" fontId="5" fillId="2" borderId="10" xfId="0" applyFont="1" applyFill="1" applyBorder="1" applyAlignment="1">
      <alignment horizontal="left" indent="2"/>
    </xf>
    <xf numFmtId="3" fontId="6" fillId="2" borderId="2" xfId="0" applyNumberFormat="1" applyFont="1" applyFill="1" applyBorder="1" applyAlignment="1">
      <alignment horizontal="center"/>
    </xf>
    <xf numFmtId="38" fontId="5" fillId="2" borderId="19" xfId="1" applyNumberFormat="1" applyFont="1" applyFill="1" applyBorder="1" applyProtection="1"/>
    <xf numFmtId="0" fontId="18" fillId="2" borderId="0" xfId="0" applyFont="1" applyFill="1"/>
    <xf numFmtId="0" fontId="6" fillId="2" borderId="16" xfId="0" applyFont="1" applyFill="1" applyBorder="1" applyAlignment="1">
      <alignment horizontal="left" indent="1"/>
    </xf>
    <xf numFmtId="0" fontId="5" fillId="0" borderId="20" xfId="0" applyFont="1" applyBorder="1"/>
    <xf numFmtId="38" fontId="5" fillId="0" borderId="0" xfId="1" applyNumberFormat="1" applyFont="1" applyFill="1" applyBorder="1" applyAlignment="1" applyProtection="1">
      <alignment horizontal="center"/>
    </xf>
    <xf numFmtId="38" fontId="5" fillId="3" borderId="0" xfId="1" applyNumberFormat="1" applyFont="1" applyFill="1" applyBorder="1" applyAlignment="1" applyProtection="1">
      <alignment horizontal="center"/>
    </xf>
    <xf numFmtId="0" fontId="6" fillId="3" borderId="0" xfId="0" applyFont="1" applyFill="1"/>
    <xf numFmtId="38" fontId="5" fillId="3" borderId="0" xfId="1" applyNumberFormat="1" applyFont="1" applyFill="1" applyBorder="1" applyProtection="1"/>
    <xf numFmtId="169" fontId="6" fillId="3" borderId="0" xfId="0" applyNumberFormat="1" applyFont="1" applyFill="1"/>
    <xf numFmtId="169" fontId="19" fillId="3" borderId="0" xfId="0" applyNumberFormat="1" applyFont="1" applyFill="1"/>
    <xf numFmtId="38" fontId="5" fillId="3" borderId="0" xfId="0" applyNumberFormat="1" applyFont="1" applyFill="1"/>
    <xf numFmtId="3" fontId="5" fillId="2" borderId="2" xfId="5" applyNumberFormat="1" applyFont="1" applyFill="1" applyBorder="1" applyAlignment="1">
      <alignment horizontal="right" vertical="center"/>
    </xf>
    <xf numFmtId="3" fontId="5" fillId="2" borderId="17" xfId="5" applyNumberFormat="1" applyFont="1" applyFill="1" applyBorder="1" applyAlignment="1">
      <alignment horizontal="right" vertical="center"/>
    </xf>
    <xf numFmtId="3" fontId="5" fillId="2" borderId="7" xfId="5" applyNumberFormat="1" applyFont="1" applyFill="1" applyBorder="1" applyAlignment="1">
      <alignment horizontal="right" vertical="center"/>
    </xf>
    <xf numFmtId="3" fontId="5" fillId="2" borderId="21" xfId="5" applyNumberFormat="1" applyFont="1" applyFill="1" applyBorder="1" applyAlignment="1">
      <alignment horizontal="right" vertical="center"/>
    </xf>
    <xf numFmtId="0" fontId="8" fillId="5" borderId="0" xfId="0" applyFont="1" applyFill="1"/>
    <xf numFmtId="0" fontId="9" fillId="5" borderId="0" xfId="0" applyFont="1" applyFill="1"/>
    <xf numFmtId="0" fontId="9" fillId="3" borderId="0" xfId="0" applyFont="1" applyFill="1"/>
    <xf numFmtId="1" fontId="5" fillId="2" borderId="2" xfId="0" applyNumberFormat="1" applyFont="1" applyFill="1" applyBorder="1" applyAlignment="1">
      <alignment horizontal="right" vertical="center"/>
    </xf>
    <xf numFmtId="3" fontId="6" fillId="2" borderId="5" xfId="0" applyNumberFormat="1" applyFont="1" applyFill="1" applyBorder="1"/>
    <xf numFmtId="3" fontId="5" fillId="2" borderId="2" xfId="0" applyNumberFormat="1" applyFont="1" applyFill="1" applyBorder="1" applyAlignment="1">
      <alignment horizontal="right"/>
    </xf>
    <xf numFmtId="0" fontId="31" fillId="3" borderId="0" xfId="0" applyFont="1" applyFill="1"/>
    <xf numFmtId="169" fontId="31" fillId="3" borderId="0" xfId="0" applyNumberFormat="1" applyFont="1" applyFill="1"/>
    <xf numFmtId="174" fontId="31" fillId="3" borderId="0" xfId="0" applyNumberFormat="1" applyFont="1" applyFill="1"/>
    <xf numFmtId="3" fontId="31" fillId="3" borderId="0" xfId="0" applyNumberFormat="1" applyFont="1" applyFill="1"/>
    <xf numFmtId="0" fontId="8" fillId="3" borderId="0" xfId="0" applyFont="1" applyFill="1"/>
    <xf numFmtId="40" fontId="5" fillId="0" borderId="0" xfId="7" applyNumberFormat="1" applyFont="1" applyFill="1" applyProtection="1"/>
    <xf numFmtId="3" fontId="6" fillId="2" borderId="2" xfId="5" applyNumberFormat="1" applyFont="1" applyFill="1" applyBorder="1" applyAlignment="1">
      <alignment horizontal="right" vertical="center"/>
    </xf>
    <xf numFmtId="3" fontId="6" fillId="0" borderId="0" xfId="5" applyNumberFormat="1" applyFont="1" applyFill="1" applyBorder="1" applyAlignment="1">
      <alignment horizontal="right" vertical="center"/>
    </xf>
    <xf numFmtId="0" fontId="5" fillId="2" borderId="8" xfId="0" applyFont="1" applyFill="1" applyBorder="1" applyAlignment="1">
      <alignment vertical="center" wrapText="1"/>
    </xf>
    <xf numFmtId="10" fontId="5" fillId="2" borderId="2" xfId="0" applyNumberFormat="1" applyFont="1" applyFill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3" fontId="5" fillId="2" borderId="2" xfId="0" applyNumberFormat="1" applyFont="1" applyFill="1" applyBorder="1" applyAlignment="1">
      <alignment vertical="center" wrapText="1"/>
    </xf>
    <xf numFmtId="170" fontId="5" fillId="2" borderId="2" xfId="0" applyNumberFormat="1" applyFont="1" applyFill="1" applyBorder="1"/>
    <xf numFmtId="0" fontId="5" fillId="0" borderId="0" xfId="0" applyFont="1" applyAlignment="1">
      <alignment vertical="center" wrapText="1"/>
    </xf>
    <xf numFmtId="40" fontId="22" fillId="0" borderId="0" xfId="7" applyNumberFormat="1" applyFont="1" applyFill="1" applyProtection="1"/>
    <xf numFmtId="40" fontId="22" fillId="0" borderId="0" xfId="7" applyNumberFormat="1" applyFont="1" applyFill="1" applyBorder="1" applyProtection="1"/>
    <xf numFmtId="40" fontId="5" fillId="0" borderId="0" xfId="7" applyNumberFormat="1" applyFont="1" applyFill="1" applyBorder="1" applyAlignment="1" applyProtection="1">
      <alignment horizontal="right"/>
    </xf>
    <xf numFmtId="40" fontId="22" fillId="0" borderId="0" xfId="7" applyNumberFormat="1" applyFont="1" applyFill="1" applyBorder="1" applyAlignment="1" applyProtection="1">
      <alignment horizontal="right"/>
    </xf>
    <xf numFmtId="164" fontId="5" fillId="0" borderId="0" xfId="0" applyNumberFormat="1" applyFont="1"/>
    <xf numFmtId="10" fontId="6" fillId="2" borderId="2" xfId="5" applyNumberFormat="1" applyFont="1" applyFill="1" applyBorder="1" applyAlignment="1">
      <alignment horizontal="right" vertical="center"/>
    </xf>
    <xf numFmtId="40" fontId="5" fillId="0" borderId="0" xfId="7" applyNumberFormat="1" applyFont="1" applyFill="1" applyBorder="1" applyAlignment="1" applyProtection="1">
      <alignment horizontal="left"/>
    </xf>
    <xf numFmtId="3" fontId="6" fillId="2" borderId="2" xfId="5" applyNumberFormat="1" applyFont="1" applyFill="1" applyBorder="1" applyAlignment="1">
      <alignment horizontal="left" vertical="center"/>
    </xf>
    <xf numFmtId="10" fontId="5" fillId="0" borderId="0" xfId="0" applyNumberFormat="1" applyFont="1"/>
    <xf numFmtId="3" fontId="5" fillId="0" borderId="0" xfId="0" applyNumberFormat="1" applyFont="1" applyAlignment="1">
      <alignment vertical="center" wrapText="1"/>
    </xf>
    <xf numFmtId="170" fontId="5" fillId="0" borderId="0" xfId="0" applyNumberFormat="1" applyFont="1"/>
    <xf numFmtId="40" fontId="5" fillId="3" borderId="0" xfId="7" applyNumberFormat="1" applyFont="1" applyFill="1" applyProtection="1"/>
    <xf numFmtId="40" fontId="5" fillId="3" borderId="0" xfId="7" applyNumberFormat="1" applyFont="1" applyFill="1" applyBorder="1" applyProtection="1"/>
    <xf numFmtId="0" fontId="4" fillId="5" borderId="0" xfId="0" applyFont="1" applyFill="1" applyAlignment="1" applyProtection="1">
      <alignment horizontal="right"/>
      <protection locked="0"/>
    </xf>
    <xf numFmtId="169" fontId="30" fillId="3" borderId="0" xfId="0" applyNumberFormat="1" applyFont="1" applyFill="1"/>
    <xf numFmtId="169" fontId="5" fillId="0" borderId="8" xfId="0" applyNumberFormat="1" applyFont="1" applyBorder="1" applyAlignment="1" applyProtection="1">
      <alignment vertical="center"/>
      <protection locked="0"/>
    </xf>
    <xf numFmtId="169" fontId="6" fillId="6" borderId="2" xfId="0" applyNumberFormat="1" applyFont="1" applyFill="1" applyBorder="1" applyAlignment="1" applyProtection="1">
      <alignment vertical="center"/>
      <protection locked="0"/>
    </xf>
    <xf numFmtId="169" fontId="14" fillId="6" borderId="2" xfId="0" applyNumberFormat="1" applyFont="1" applyFill="1" applyBorder="1" applyAlignment="1" applyProtection="1">
      <alignment vertical="center"/>
      <protection locked="0"/>
    </xf>
    <xf numFmtId="169" fontId="5" fillId="6" borderId="2" xfId="0" applyNumberFormat="1" applyFont="1" applyFill="1" applyBorder="1" applyAlignment="1" applyProtection="1">
      <alignment vertical="center"/>
      <protection locked="0"/>
    </xf>
    <xf numFmtId="9" fontId="14" fillId="6" borderId="2" xfId="5" applyFont="1" applyFill="1" applyBorder="1" applyAlignment="1" applyProtection="1">
      <alignment vertical="center"/>
      <protection locked="0"/>
    </xf>
    <xf numFmtId="10" fontId="14" fillId="6" borderId="2" xfId="5" applyNumberFormat="1" applyFont="1" applyFill="1" applyBorder="1" applyAlignment="1" applyProtection="1">
      <alignment vertical="center"/>
      <protection locked="0"/>
    </xf>
    <xf numFmtId="172" fontId="14" fillId="6" borderId="2" xfId="0" applyNumberFormat="1" applyFont="1" applyFill="1" applyBorder="1" applyAlignment="1" applyProtection="1">
      <alignment vertical="center"/>
      <protection locked="0"/>
    </xf>
    <xf numFmtId="172" fontId="5" fillId="6" borderId="2" xfId="0" applyNumberFormat="1" applyFont="1" applyFill="1" applyBorder="1" applyAlignment="1" applyProtection="1">
      <alignment vertical="center"/>
      <protection locked="0"/>
    </xf>
    <xf numFmtId="8" fontId="5" fillId="0" borderId="0" xfId="0" applyNumberFormat="1" applyFont="1"/>
    <xf numFmtId="0" fontId="6" fillId="2" borderId="3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2" borderId="2" xfId="5" applyNumberFormat="1" applyFont="1" applyFill="1" applyBorder="1" applyAlignment="1" applyProtection="1">
      <alignment horizontal="right" vertical="center"/>
      <protection locked="0"/>
    </xf>
    <xf numFmtId="40" fontId="22" fillId="0" borderId="0" xfId="7" applyNumberFormat="1" applyFont="1" applyFill="1" applyBorder="1" applyProtection="1">
      <protection locked="0"/>
    </xf>
    <xf numFmtId="40" fontId="5" fillId="0" borderId="0" xfId="7" applyNumberFormat="1" applyFont="1" applyFill="1" applyProtection="1">
      <protection locked="0"/>
    </xf>
    <xf numFmtId="40" fontId="5" fillId="0" borderId="0" xfId="7" applyNumberFormat="1" applyFont="1" applyFill="1" applyBorder="1" applyAlignment="1" applyProtection="1">
      <alignment horizontal="right"/>
      <protection locked="0"/>
    </xf>
    <xf numFmtId="40" fontId="22" fillId="0" borderId="0" xfId="7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6" fillId="2" borderId="12" xfId="0" applyFont="1" applyFill="1" applyBorder="1" applyAlignment="1">
      <alignment horizontal="center"/>
    </xf>
    <xf numFmtId="9" fontId="5" fillId="2" borderId="16" xfId="5" applyFont="1" applyFill="1" applyBorder="1" applyAlignment="1">
      <alignment horizontal="right" vertical="center"/>
    </xf>
    <xf numFmtId="0" fontId="15" fillId="0" borderId="0" xfId="0" applyFont="1"/>
    <xf numFmtId="0" fontId="6" fillId="0" borderId="2" xfId="0" applyFont="1" applyBorder="1"/>
    <xf numFmtId="0" fontId="5" fillId="0" borderId="2" xfId="0" applyFont="1" applyBorder="1"/>
    <xf numFmtId="0" fontId="6" fillId="2" borderId="4" xfId="0" applyFont="1" applyFill="1" applyBorder="1" applyAlignment="1">
      <alignment horizontal="center"/>
    </xf>
    <xf numFmtId="3" fontId="5" fillId="0" borderId="2" xfId="0" applyNumberFormat="1" applyFont="1" applyBorder="1"/>
    <xf numFmtId="10" fontId="5" fillId="0" borderId="2" xfId="0" applyNumberFormat="1" applyFont="1" applyBorder="1"/>
    <xf numFmtId="0" fontId="6" fillId="2" borderId="12" xfId="0" applyFont="1" applyFill="1" applyBorder="1" applyAlignment="1">
      <alignment horizontal="left"/>
    </xf>
    <xf numFmtId="0" fontId="6" fillId="3" borderId="22" xfId="0" applyFont="1" applyFill="1" applyBorder="1"/>
    <xf numFmtId="0" fontId="5" fillId="3" borderId="22" xfId="0" applyFont="1" applyFill="1" applyBorder="1" applyAlignment="1">
      <alignment horizontal="left" indent="1"/>
    </xf>
    <xf numFmtId="0" fontId="5" fillId="3" borderId="23" xfId="0" applyFont="1" applyFill="1" applyBorder="1"/>
    <xf numFmtId="3" fontId="6" fillId="3" borderId="1" xfId="0" applyNumberFormat="1" applyFont="1" applyFill="1" applyBorder="1"/>
    <xf numFmtId="4" fontId="5" fillId="3" borderId="1" xfId="0" applyNumberFormat="1" applyFont="1" applyFill="1" applyBorder="1"/>
    <xf numFmtId="0" fontId="6" fillId="2" borderId="2" xfId="0" applyFont="1" applyFill="1" applyBorder="1" applyAlignment="1">
      <alignment horizontal="right"/>
    </xf>
    <xf numFmtId="38" fontId="5" fillId="2" borderId="2" xfId="0" applyNumberFormat="1" applyFont="1" applyFill="1" applyBorder="1" applyAlignment="1">
      <alignment horizontal="right"/>
    </xf>
    <xf numFmtId="3" fontId="6" fillId="2" borderId="5" xfId="0" applyNumberFormat="1" applyFont="1" applyFill="1" applyBorder="1" applyAlignment="1">
      <alignment horizontal="right"/>
    </xf>
    <xf numFmtId="0" fontId="5" fillId="2" borderId="3" xfId="3" applyFont="1" applyFill="1" applyBorder="1" applyAlignment="1">
      <alignment horizontal="left" indent="1"/>
    </xf>
    <xf numFmtId="38" fontId="5" fillId="2" borderId="2" xfId="0" applyNumberFormat="1" applyFont="1" applyFill="1" applyBorder="1" applyAlignment="1">
      <alignment horizontal="left" indent="1"/>
    </xf>
    <xf numFmtId="38" fontId="5" fillId="2" borderId="2" xfId="0" applyNumberFormat="1" applyFont="1" applyFill="1" applyBorder="1" applyAlignment="1">
      <alignment horizontal="left"/>
    </xf>
    <xf numFmtId="3" fontId="33" fillId="2" borderId="2" xfId="3" applyNumberFormat="1" applyFont="1" applyFill="1" applyBorder="1" applyAlignment="1">
      <alignment horizontal="right"/>
    </xf>
    <xf numFmtId="3" fontId="30" fillId="2" borderId="2" xfId="3" applyNumberFormat="1" applyFont="1" applyFill="1" applyBorder="1" applyAlignment="1">
      <alignment horizontal="right"/>
    </xf>
    <xf numFmtId="3" fontId="33" fillId="2" borderId="2" xfId="3" applyNumberFormat="1" applyFont="1" applyFill="1" applyBorder="1"/>
    <xf numFmtId="3" fontId="6" fillId="2" borderId="2" xfId="3" applyNumberFormat="1" applyFont="1" applyFill="1" applyBorder="1" applyAlignment="1">
      <alignment horizontal="right"/>
    </xf>
    <xf numFmtId="3" fontId="33" fillId="2" borderId="2" xfId="3" applyNumberFormat="1" applyFont="1" applyFill="1" applyBorder="1" applyAlignment="1">
      <alignment horizontal="center"/>
    </xf>
    <xf numFmtId="0" fontId="6" fillId="0" borderId="3" xfId="0" applyFont="1" applyBorder="1" applyAlignment="1" applyProtection="1">
      <alignment horizontal="left"/>
      <protection locked="0"/>
    </xf>
    <xf numFmtId="0" fontId="6" fillId="2" borderId="15" xfId="3" applyFont="1" applyFill="1" applyBorder="1"/>
    <xf numFmtId="0" fontId="5" fillId="2" borderId="19" xfId="3" applyFont="1" applyFill="1" applyBorder="1"/>
    <xf numFmtId="169" fontId="34" fillId="2" borderId="2" xfId="3" applyNumberFormat="1" applyFont="1" applyFill="1" applyBorder="1"/>
    <xf numFmtId="169" fontId="5" fillId="2" borderId="17" xfId="3" applyNumberFormat="1" applyFont="1" applyFill="1" applyBorder="1"/>
    <xf numFmtId="169" fontId="6" fillId="2" borderId="2" xfId="3" applyNumberFormat="1" applyFont="1" applyFill="1" applyBorder="1"/>
    <xf numFmtId="0" fontId="6" fillId="2" borderId="18" xfId="3" applyFont="1" applyFill="1" applyBorder="1"/>
    <xf numFmtId="0" fontId="6" fillId="2" borderId="6" xfId="3" applyFont="1" applyFill="1" applyBorder="1"/>
    <xf numFmtId="169" fontId="6" fillId="0" borderId="0" xfId="3" applyNumberFormat="1" applyFont="1"/>
    <xf numFmtId="169" fontId="5" fillId="2" borderId="4" xfId="3" applyNumberFormat="1" applyFont="1" applyFill="1" applyBorder="1"/>
    <xf numFmtId="0" fontId="5" fillId="2" borderId="6" xfId="0" applyFont="1" applyFill="1" applyBorder="1" applyAlignment="1">
      <alignment horizontal="left" indent="1"/>
    </xf>
    <xf numFmtId="169" fontId="5" fillId="2" borderId="4" xfId="0" applyNumberFormat="1" applyFont="1" applyFill="1" applyBorder="1"/>
    <xf numFmtId="0" fontId="9" fillId="5" borderId="0" xfId="0" applyFont="1" applyFill="1" applyAlignment="1">
      <alignment horizontal="right"/>
    </xf>
    <xf numFmtId="0" fontId="11" fillId="0" borderId="0" xfId="0" applyFont="1"/>
    <xf numFmtId="0" fontId="6" fillId="0" borderId="3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Protection="1">
      <protection locked="0"/>
    </xf>
    <xf numFmtId="1" fontId="5" fillId="0" borderId="2" xfId="0" applyNumberFormat="1" applyFont="1" applyBorder="1" applyAlignment="1" applyProtection="1">
      <alignment horizontal="right" vertical="center"/>
      <protection locked="0"/>
    </xf>
    <xf numFmtId="0" fontId="5" fillId="0" borderId="3" xfId="0" applyFont="1" applyBorder="1" applyAlignment="1" applyProtection="1">
      <alignment horizontal="left" indent="1"/>
      <protection locked="0"/>
    </xf>
    <xf numFmtId="3" fontId="6" fillId="0" borderId="2" xfId="0" applyNumberFormat="1" applyFont="1" applyBorder="1" applyProtection="1">
      <protection locked="0"/>
    </xf>
    <xf numFmtId="38" fontId="5" fillId="0" borderId="2" xfId="0" applyNumberFormat="1" applyFont="1" applyBorder="1" applyAlignment="1" applyProtection="1">
      <alignment horizontal="center"/>
      <protection locked="0"/>
    </xf>
    <xf numFmtId="38" fontId="5" fillId="0" borderId="2" xfId="0" applyNumberFormat="1" applyFont="1" applyBorder="1" applyProtection="1">
      <protection locked="0"/>
    </xf>
    <xf numFmtId="0" fontId="5" fillId="0" borderId="2" xfId="0" applyFont="1" applyBorder="1" applyProtection="1">
      <protection locked="0"/>
    </xf>
    <xf numFmtId="3" fontId="5" fillId="0" borderId="0" xfId="0" applyNumberFormat="1" applyFont="1" applyAlignment="1">
      <alignment horizontal="right" vertical="center"/>
    </xf>
    <xf numFmtId="0" fontId="6" fillId="0" borderId="8" xfId="0" applyFont="1" applyBorder="1" applyAlignment="1">
      <alignment horizontal="center"/>
    </xf>
    <xf numFmtId="1" fontId="5" fillId="0" borderId="8" xfId="0" applyNumberFormat="1" applyFont="1" applyBorder="1" applyAlignment="1" applyProtection="1">
      <alignment horizontal="right" vertical="center"/>
      <protection locked="0"/>
    </xf>
    <xf numFmtId="3" fontId="5" fillId="0" borderId="8" xfId="0" applyNumberFormat="1" applyFont="1" applyBorder="1" applyAlignment="1" applyProtection="1">
      <alignment horizontal="right" vertical="center"/>
      <protection locked="0"/>
    </xf>
    <xf numFmtId="1" fontId="6" fillId="0" borderId="2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6" fillId="0" borderId="3" xfId="0" applyFont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>
      <alignment horizontal="right"/>
    </xf>
    <xf numFmtId="4" fontId="5" fillId="2" borderId="2" xfId="0" applyNumberFormat="1" applyFont="1" applyFill="1" applyBorder="1" applyAlignment="1">
      <alignment horizontal="right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3" fontId="5" fillId="2" borderId="27" xfId="5" applyNumberFormat="1" applyFont="1" applyFill="1" applyBorder="1" applyAlignment="1">
      <alignment horizontal="right" vertical="center"/>
    </xf>
    <xf numFmtId="9" fontId="5" fillId="2" borderId="27" xfId="5" applyFont="1" applyFill="1" applyBorder="1" applyAlignment="1">
      <alignment horizontal="right" vertical="center"/>
    </xf>
    <xf numFmtId="9" fontId="5" fillId="2" borderId="28" xfId="5" applyFont="1" applyFill="1" applyBorder="1" applyAlignment="1">
      <alignment horizontal="right" vertical="center"/>
    </xf>
    <xf numFmtId="9" fontId="5" fillId="2" borderId="29" xfId="5" applyFont="1" applyFill="1" applyBorder="1" applyAlignment="1">
      <alignment horizontal="right" vertical="center"/>
    </xf>
    <xf numFmtId="4" fontId="5" fillId="2" borderId="27" xfId="0" applyNumberFormat="1" applyFont="1" applyFill="1" applyBorder="1" applyAlignment="1">
      <alignment horizontal="right" vertical="center"/>
    </xf>
    <xf numFmtId="4" fontId="5" fillId="2" borderId="28" xfId="0" applyNumberFormat="1" applyFont="1" applyFill="1" applyBorder="1" applyAlignment="1">
      <alignment horizontal="right" vertical="center"/>
    </xf>
    <xf numFmtId="4" fontId="5" fillId="2" borderId="29" xfId="0" applyNumberFormat="1" applyFont="1" applyFill="1" applyBorder="1" applyAlignment="1">
      <alignment horizontal="right" vertic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9" fontId="5" fillId="2" borderId="32" xfId="5" applyFont="1" applyFill="1" applyBorder="1" applyAlignment="1">
      <alignment horizontal="right" vertical="center"/>
    </xf>
    <xf numFmtId="9" fontId="5" fillId="2" borderId="33" xfId="5" applyFont="1" applyFill="1" applyBorder="1" applyAlignment="1">
      <alignment horizontal="right" vertical="center"/>
    </xf>
    <xf numFmtId="9" fontId="5" fillId="2" borderId="34" xfId="5" applyFont="1" applyFill="1" applyBorder="1" applyAlignment="1">
      <alignment horizontal="right" vertical="center"/>
    </xf>
    <xf numFmtId="0" fontId="5" fillId="2" borderId="35" xfId="0" applyFont="1" applyFill="1" applyBorder="1" applyAlignment="1">
      <alignment horizontal="left"/>
    </xf>
    <xf numFmtId="169" fontId="6" fillId="2" borderId="16" xfId="0" applyNumberFormat="1" applyFont="1" applyFill="1" applyBorder="1" applyAlignment="1">
      <alignment vertical="center"/>
    </xf>
    <xf numFmtId="4" fontId="14" fillId="0" borderId="2" xfId="0" applyNumberFormat="1" applyFont="1" applyBorder="1" applyProtection="1">
      <protection locked="0"/>
    </xf>
    <xf numFmtId="4" fontId="14" fillId="2" borderId="2" xfId="5" applyNumberFormat="1" applyFont="1" applyFill="1" applyBorder="1" applyAlignment="1">
      <alignment horizontal="center" vertical="center"/>
    </xf>
    <xf numFmtId="4" fontId="6" fillId="2" borderId="5" xfId="0" applyNumberFormat="1" applyFont="1" applyFill="1" applyBorder="1"/>
    <xf numFmtId="4" fontId="5" fillId="0" borderId="0" xfId="0" applyNumberFormat="1" applyFont="1"/>
    <xf numFmtId="4" fontId="6" fillId="2" borderId="16" xfId="0" applyNumberFormat="1" applyFont="1" applyFill="1" applyBorder="1" applyAlignment="1">
      <alignment vertical="center"/>
    </xf>
    <xf numFmtId="4" fontId="5" fillId="2" borderId="5" xfId="0" applyNumberFormat="1" applyFont="1" applyFill="1" applyBorder="1" applyAlignment="1">
      <alignment vertical="center"/>
    </xf>
    <xf numFmtId="4" fontId="6" fillId="2" borderId="5" xfId="0" applyNumberFormat="1" applyFont="1" applyFill="1" applyBorder="1" applyAlignment="1">
      <alignment vertical="center"/>
    </xf>
    <xf numFmtId="0" fontId="6" fillId="2" borderId="10" xfId="0" applyFont="1" applyFill="1" applyBorder="1" applyAlignment="1">
      <alignment horizontal="left"/>
    </xf>
    <xf numFmtId="0" fontId="6" fillId="2" borderId="15" xfId="0" applyFont="1" applyFill="1" applyBorder="1"/>
    <xf numFmtId="172" fontId="5" fillId="6" borderId="2" xfId="0" applyNumberFormat="1" applyFont="1" applyFill="1" applyBorder="1" applyAlignment="1">
      <alignment horizontal="right"/>
    </xf>
    <xf numFmtId="172" fontId="6" fillId="6" borderId="2" xfId="0" applyNumberFormat="1" applyFont="1" applyFill="1" applyBorder="1" applyAlignment="1">
      <alignment horizontal="right"/>
    </xf>
    <xf numFmtId="172" fontId="6" fillId="6" borderId="21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 wrapText="1"/>
    </xf>
    <xf numFmtId="169" fontId="6" fillId="2" borderId="2" xfId="0" applyNumberFormat="1" applyFont="1" applyFill="1" applyBorder="1" applyAlignment="1">
      <alignment horizontal="right" vertical="center"/>
    </xf>
    <xf numFmtId="169" fontId="5" fillId="0" borderId="2" xfId="0" applyNumberFormat="1" applyFont="1" applyBorder="1" applyAlignment="1" applyProtection="1">
      <alignment horizontal="right" vertical="center"/>
      <protection locked="0"/>
    </xf>
    <xf numFmtId="169" fontId="6" fillId="2" borderId="5" xfId="0" applyNumberFormat="1" applyFont="1" applyFill="1" applyBorder="1" applyAlignment="1">
      <alignment horizontal="right"/>
    </xf>
    <xf numFmtId="4" fontId="5" fillId="0" borderId="2" xfId="0" applyNumberFormat="1" applyFont="1" applyBorder="1" applyAlignment="1" applyProtection="1">
      <alignment vertical="center"/>
      <protection locked="0"/>
    </xf>
    <xf numFmtId="4" fontId="14" fillId="2" borderId="2" xfId="5" applyNumberFormat="1" applyFont="1" applyFill="1" applyBorder="1" applyAlignment="1" applyProtection="1">
      <alignment horizontal="center" vertical="center"/>
      <protection locked="0"/>
    </xf>
    <xf numFmtId="38" fontId="5" fillId="2" borderId="3" xfId="0" applyNumberFormat="1" applyFont="1" applyFill="1" applyBorder="1" applyAlignment="1">
      <alignment horizontal="left" indent="1"/>
    </xf>
    <xf numFmtId="3" fontId="14" fillId="0" borderId="2" xfId="5" applyNumberFormat="1" applyFont="1" applyFill="1" applyBorder="1" applyAlignment="1" applyProtection="1">
      <alignment horizontal="center"/>
      <protection locked="0"/>
    </xf>
    <xf numFmtId="0" fontId="5" fillId="2" borderId="3" xfId="3" applyFont="1" applyFill="1" applyBorder="1" applyAlignment="1">
      <alignment horizontal="left"/>
    </xf>
    <xf numFmtId="1" fontId="5" fillId="2" borderId="2" xfId="5" applyNumberFormat="1" applyFont="1" applyFill="1" applyBorder="1"/>
    <xf numFmtId="1" fontId="5" fillId="0" borderId="0" xfId="0" applyNumberFormat="1" applyFont="1" applyProtection="1">
      <protection locked="0"/>
    </xf>
    <xf numFmtId="0" fontId="6" fillId="3" borderId="36" xfId="0" applyFont="1" applyFill="1" applyBorder="1" applyAlignment="1">
      <alignment horizontal="center"/>
    </xf>
    <xf numFmtId="3" fontId="5" fillId="3" borderId="36" xfId="0" applyNumberFormat="1" applyFont="1" applyFill="1" applyBorder="1" applyAlignment="1">
      <alignment horizontal="center"/>
    </xf>
    <xf numFmtId="0" fontId="5" fillId="3" borderId="36" xfId="0" applyFont="1" applyFill="1" applyBorder="1" applyAlignment="1">
      <alignment horizontal="center"/>
    </xf>
    <xf numFmtId="173" fontId="5" fillId="3" borderId="36" xfId="0" applyNumberFormat="1" applyFont="1" applyFill="1" applyBorder="1" applyAlignment="1">
      <alignment horizontal="center"/>
    </xf>
    <xf numFmtId="171" fontId="5" fillId="3" borderId="36" xfId="0" applyNumberFormat="1" applyFont="1" applyFill="1" applyBorder="1" applyAlignment="1">
      <alignment horizontal="center"/>
    </xf>
    <xf numFmtId="0" fontId="6" fillId="3" borderId="0" xfId="0" applyFont="1" applyFill="1" applyProtection="1">
      <protection locked="0"/>
    </xf>
    <xf numFmtId="1" fontId="5" fillId="3" borderId="36" xfId="0" applyNumberFormat="1" applyFont="1" applyFill="1" applyBorder="1" applyAlignment="1">
      <alignment horizontal="center"/>
    </xf>
    <xf numFmtId="3" fontId="6" fillId="7" borderId="2" xfId="5" applyNumberFormat="1" applyFont="1" applyFill="1" applyBorder="1" applyAlignment="1" applyProtection="1">
      <alignment horizontal="right" vertical="center"/>
      <protection locked="0"/>
    </xf>
    <xf numFmtId="10" fontId="5" fillId="7" borderId="2" xfId="0" applyNumberFormat="1" applyFont="1" applyFill="1" applyBorder="1" applyAlignment="1" applyProtection="1">
      <alignment vertical="center" wrapText="1"/>
      <protection locked="0"/>
    </xf>
    <xf numFmtId="175" fontId="43" fillId="0" borderId="36" xfId="0" applyNumberFormat="1" applyFont="1" applyBorder="1"/>
    <xf numFmtId="175" fontId="44" fillId="0" borderId="36" xfId="0" applyNumberFormat="1" applyFont="1" applyBorder="1"/>
    <xf numFmtId="0" fontId="45" fillId="0" borderId="0" xfId="0" applyFont="1"/>
    <xf numFmtId="4" fontId="5" fillId="2" borderId="2" xfId="0" applyNumberFormat="1" applyFont="1" applyFill="1" applyBorder="1" applyAlignment="1">
      <alignment vertical="center" wrapText="1"/>
    </xf>
    <xf numFmtId="3" fontId="6" fillId="2" borderId="2" xfId="5" applyNumberFormat="1" applyFont="1" applyFill="1" applyBorder="1" applyAlignment="1">
      <alignment horizontal="center" vertical="center"/>
    </xf>
    <xf numFmtId="167" fontId="14" fillId="2" borderId="4" xfId="0" applyNumberFormat="1" applyFont="1" applyFill="1" applyBorder="1" applyAlignment="1" applyProtection="1">
      <alignment horizontal="center" vertical="center"/>
      <protection locked="0"/>
    </xf>
    <xf numFmtId="170" fontId="5" fillId="2" borderId="2" xfId="0" quotePrefix="1" applyNumberFormat="1" applyFont="1" applyFill="1" applyBorder="1" applyAlignment="1">
      <alignment horizontal="center"/>
    </xf>
    <xf numFmtId="170" fontId="6" fillId="2" borderId="2" xfId="0" quotePrefix="1" applyNumberFormat="1" applyFont="1" applyFill="1" applyBorder="1" applyAlignment="1">
      <alignment horizontal="center"/>
    </xf>
    <xf numFmtId="9" fontId="45" fillId="0" borderId="0" xfId="5" applyFont="1" applyFill="1" applyProtection="1">
      <protection hidden="1"/>
    </xf>
    <xf numFmtId="0" fontId="5" fillId="0" borderId="0" xfId="0" applyFont="1" applyAlignment="1">
      <alignment horizontal="center"/>
    </xf>
    <xf numFmtId="3" fontId="6" fillId="8" borderId="2" xfId="5" applyNumberFormat="1" applyFont="1" applyFill="1" applyBorder="1" applyAlignment="1" applyProtection="1">
      <alignment horizontal="center" vertical="center"/>
      <protection locked="0"/>
    </xf>
    <xf numFmtId="10" fontId="6" fillId="8" borderId="2" xfId="5" applyNumberFormat="1" applyFont="1" applyFill="1" applyBorder="1" applyAlignment="1">
      <alignment horizontal="center" vertical="center"/>
    </xf>
    <xf numFmtId="3" fontId="6" fillId="8" borderId="2" xfId="5" applyNumberFormat="1" applyFont="1" applyFill="1" applyBorder="1" applyAlignment="1">
      <alignment horizontal="center" vertical="center"/>
    </xf>
    <xf numFmtId="0" fontId="5" fillId="9" borderId="0" xfId="0" applyFont="1" applyFill="1"/>
    <xf numFmtId="0" fontId="6" fillId="3" borderId="0" xfId="0" applyFont="1" applyFill="1" applyAlignment="1" applyProtection="1">
      <alignment horizontal="center"/>
      <protection locked="0"/>
    </xf>
    <xf numFmtId="0" fontId="5" fillId="2" borderId="12" xfId="3" applyFont="1" applyFill="1" applyBorder="1"/>
    <xf numFmtId="3" fontId="5" fillId="2" borderId="21" xfId="3" applyNumberFormat="1" applyFont="1" applyFill="1" applyBorder="1"/>
    <xf numFmtId="0" fontId="5" fillId="2" borderId="37" xfId="3" applyFont="1" applyFill="1" applyBorder="1" applyAlignment="1">
      <alignment horizontal="left" indent="2"/>
    </xf>
    <xf numFmtId="10" fontId="5" fillId="2" borderId="37" xfId="6" applyNumberFormat="1" applyFont="1" applyFill="1" applyBorder="1" applyProtection="1"/>
    <xf numFmtId="169" fontId="5" fillId="2" borderId="37" xfId="3" applyNumberFormat="1" applyFont="1" applyFill="1" applyBorder="1"/>
    <xf numFmtId="0" fontId="5" fillId="2" borderId="37" xfId="3" applyFont="1" applyFill="1" applyBorder="1"/>
    <xf numFmtId="3" fontId="5" fillId="2" borderId="37" xfId="3" applyNumberFormat="1" applyFont="1" applyFill="1" applyBorder="1"/>
    <xf numFmtId="0" fontId="6" fillId="2" borderId="37" xfId="3" applyFont="1" applyFill="1" applyBorder="1"/>
    <xf numFmtId="3" fontId="5" fillId="8" borderId="2" xfId="5" applyNumberFormat="1" applyFont="1" applyFill="1" applyBorder="1" applyAlignment="1" applyProtection="1">
      <alignment horizontal="right" vertical="center"/>
      <protection locked="0"/>
    </xf>
    <xf numFmtId="169" fontId="5" fillId="2" borderId="37" xfId="3" quotePrefix="1" applyNumberFormat="1" applyFont="1" applyFill="1" applyBorder="1"/>
    <xf numFmtId="0" fontId="40" fillId="3" borderId="0" xfId="2" applyFont="1" applyFill="1" applyProtection="1">
      <protection hidden="1"/>
    </xf>
    <xf numFmtId="0" fontId="20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2" xfId="0" applyFont="1" applyBorder="1" applyAlignment="1" applyProtection="1">
      <alignment horizontal="center"/>
      <protection locked="0"/>
    </xf>
    <xf numFmtId="10" fontId="14" fillId="0" borderId="2" xfId="0" applyNumberFormat="1" applyFont="1" applyBorder="1" applyAlignment="1" applyProtection="1">
      <alignment horizontal="center"/>
      <protection locked="0"/>
    </xf>
    <xf numFmtId="10" fontId="14" fillId="10" borderId="2" xfId="0" applyNumberFormat="1" applyFont="1" applyFill="1" applyBorder="1" applyAlignment="1" applyProtection="1">
      <alignment horizontal="center"/>
      <protection locked="0"/>
    </xf>
    <xf numFmtId="10" fontId="14" fillId="0" borderId="3" xfId="0" applyNumberFormat="1" applyFont="1" applyBorder="1" applyAlignment="1" applyProtection="1">
      <alignment horizontal="center"/>
      <protection locked="0"/>
    </xf>
    <xf numFmtId="2" fontId="14" fillId="0" borderId="3" xfId="0" applyNumberFormat="1" applyFont="1" applyBorder="1" applyAlignment="1" applyProtection="1">
      <alignment horizontal="center"/>
      <protection locked="0"/>
    </xf>
    <xf numFmtId="0" fontId="5" fillId="3" borderId="0" xfId="0" applyFont="1" applyFill="1" applyAlignment="1" applyProtection="1">
      <alignment horizontal="center"/>
      <protection hidden="1"/>
    </xf>
    <xf numFmtId="168" fontId="14" fillId="0" borderId="2" xfId="0" applyNumberFormat="1" applyFont="1" applyBorder="1" applyAlignment="1" applyProtection="1">
      <alignment horizontal="center"/>
      <protection locked="0"/>
    </xf>
    <xf numFmtId="10" fontId="14" fillId="2" borderId="5" xfId="5" applyNumberFormat="1" applyFont="1" applyFill="1" applyBorder="1" applyAlignment="1">
      <alignment horizontal="center" vertical="center"/>
    </xf>
    <xf numFmtId="10" fontId="14" fillId="0" borderId="5" xfId="5" applyNumberFormat="1" applyFont="1" applyFill="1" applyBorder="1" applyAlignment="1" applyProtection="1">
      <alignment horizontal="center" vertical="center"/>
      <protection locked="0"/>
    </xf>
    <xf numFmtId="168" fontId="14" fillId="0" borderId="2" xfId="0" applyNumberFormat="1" applyFont="1" applyBorder="1" applyProtection="1">
      <protection locked="0"/>
    </xf>
    <xf numFmtId="168" fontId="14" fillId="2" borderId="2" xfId="5" applyNumberFormat="1" applyFont="1" applyFill="1" applyBorder="1" applyAlignment="1">
      <alignment horizontal="center" vertical="center"/>
    </xf>
    <xf numFmtId="168" fontId="14" fillId="2" borderId="2" xfId="0" applyNumberFormat="1" applyFont="1" applyFill="1" applyBorder="1"/>
    <xf numFmtId="10" fontId="14" fillId="0" borderId="2" xfId="5" applyNumberFormat="1" applyFont="1" applyFill="1" applyBorder="1" applyAlignment="1" applyProtection="1">
      <alignment horizontal="center"/>
      <protection locked="0"/>
    </xf>
    <xf numFmtId="2" fontId="5" fillId="0" borderId="36" xfId="0" applyNumberFormat="1" applyFont="1" applyBorder="1" applyAlignment="1" applyProtection="1">
      <alignment horizontal="center"/>
      <protection locked="0"/>
    </xf>
    <xf numFmtId="10" fontId="32" fillId="0" borderId="36" xfId="0" applyNumberFormat="1" applyFont="1" applyBorder="1" applyAlignment="1" applyProtection="1">
      <alignment horizontal="center"/>
      <protection locked="0"/>
    </xf>
    <xf numFmtId="0" fontId="46" fillId="11" borderId="0" xfId="0" applyFont="1" applyFill="1"/>
    <xf numFmtId="3" fontId="6" fillId="11" borderId="36" xfId="5" applyNumberFormat="1" applyFont="1" applyFill="1" applyBorder="1" applyAlignment="1">
      <alignment horizontal="center" vertical="center"/>
    </xf>
    <xf numFmtId="0" fontId="45" fillId="8" borderId="0" xfId="0" applyFont="1" applyFill="1"/>
    <xf numFmtId="0" fontId="5" fillId="0" borderId="0" xfId="0" applyFont="1" applyAlignment="1" applyProtection="1">
      <alignment horizontal="justify" vertical="center" wrapText="1"/>
      <protection hidden="1"/>
    </xf>
    <xf numFmtId="173" fontId="14" fillId="11" borderId="8" xfId="0" applyNumberFormat="1" applyFont="1" applyFill="1" applyBorder="1" applyAlignment="1" applyProtection="1">
      <alignment horizontal="center"/>
      <protection hidden="1"/>
    </xf>
    <xf numFmtId="10" fontId="22" fillId="0" borderId="2" xfId="5" applyNumberFormat="1" applyFont="1" applyFill="1" applyBorder="1" applyProtection="1">
      <protection locked="0"/>
    </xf>
    <xf numFmtId="10" fontId="22" fillId="2" borderId="2" xfId="5" applyNumberFormat="1" applyFont="1" applyFill="1" applyBorder="1"/>
    <xf numFmtId="176" fontId="22" fillId="0" borderId="2" xfId="5" applyNumberFormat="1" applyFont="1" applyFill="1" applyBorder="1" applyProtection="1">
      <protection locked="0"/>
    </xf>
    <xf numFmtId="169" fontId="30" fillId="0" borderId="0" xfId="3" applyNumberFormat="1" applyFont="1"/>
    <xf numFmtId="169" fontId="9" fillId="2" borderId="4" xfId="3" applyNumberFormat="1" applyFont="1" applyFill="1" applyBorder="1"/>
    <xf numFmtId="169" fontId="9" fillId="2" borderId="37" xfId="3" applyNumberFormat="1" applyFont="1" applyFill="1" applyBorder="1"/>
    <xf numFmtId="0" fontId="47" fillId="0" borderId="0" xfId="2" applyFont="1" applyAlignment="1" applyProtection="1">
      <alignment horizontal="right" vertical="top" wrapText="1"/>
      <protection hidden="1"/>
    </xf>
    <xf numFmtId="0" fontId="48" fillId="0" borderId="0" xfId="2" applyFont="1" applyAlignment="1" applyProtection="1">
      <alignment horizontal="right" vertical="top" wrapText="1"/>
      <protection hidden="1"/>
    </xf>
    <xf numFmtId="0" fontId="23" fillId="0" borderId="0" xfId="2" applyFont="1" applyAlignment="1" applyProtection="1">
      <alignment horizontal="left" wrapText="1"/>
      <protection hidden="1"/>
    </xf>
    <xf numFmtId="0" fontId="29" fillId="0" borderId="38" xfId="2" applyFont="1" applyBorder="1" applyAlignment="1" applyProtection="1">
      <alignment horizontal="center"/>
      <protection hidden="1"/>
    </xf>
    <xf numFmtId="0" fontId="23" fillId="0" borderId="0" xfId="2" applyFont="1" applyAlignment="1" applyProtection="1">
      <alignment horizontal="left"/>
      <protection hidden="1"/>
    </xf>
    <xf numFmtId="0" fontId="41" fillId="0" borderId="0" xfId="2" applyFont="1" applyAlignment="1" applyProtection="1">
      <alignment horizontal="center" vertical="center" wrapText="1"/>
      <protection hidden="1"/>
    </xf>
    <xf numFmtId="9" fontId="45" fillId="11" borderId="18" xfId="5" applyFont="1" applyFill="1" applyBorder="1" applyAlignment="1" applyProtection="1">
      <alignment horizontal="justify"/>
      <protection hidden="1"/>
    </xf>
    <xf numFmtId="0" fontId="5" fillId="0" borderId="0" xfId="0" applyFont="1" applyAlignment="1" applyProtection="1">
      <alignment horizontal="justify" vertical="center" wrapText="1"/>
      <protection hidden="1"/>
    </xf>
    <xf numFmtId="0" fontId="29" fillId="0" borderId="38" xfId="0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center"/>
      <protection hidden="1"/>
    </xf>
    <xf numFmtId="0" fontId="45" fillId="11" borderId="6" xfId="0" applyFont="1" applyFill="1" applyBorder="1" applyAlignment="1" applyProtection="1">
      <alignment horizontal="justify"/>
      <protection hidden="1"/>
    </xf>
    <xf numFmtId="0" fontId="45" fillId="11" borderId="11" xfId="0" applyFont="1" applyFill="1" applyBorder="1" applyAlignment="1" applyProtection="1">
      <alignment horizontal="justify"/>
      <protection hidden="1"/>
    </xf>
    <xf numFmtId="0" fontId="45" fillId="11" borderId="12" xfId="0" applyFont="1" applyFill="1" applyBorder="1" applyAlignment="1" applyProtection="1">
      <alignment horizontal="justify"/>
      <protection hidden="1"/>
    </xf>
    <xf numFmtId="0" fontId="45" fillId="11" borderId="18" xfId="0" applyFont="1" applyFill="1" applyBorder="1" applyAlignment="1" applyProtection="1">
      <alignment horizontal="justify"/>
      <protection hidden="1"/>
    </xf>
    <xf numFmtId="0" fontId="45" fillId="11" borderId="0" xfId="0" applyFont="1" applyFill="1" applyAlignment="1" applyProtection="1">
      <alignment horizontal="justify"/>
      <protection hidden="1"/>
    </xf>
    <xf numFmtId="0" fontId="45" fillId="11" borderId="39" xfId="0" applyFont="1" applyFill="1" applyBorder="1" applyAlignment="1" applyProtection="1">
      <alignment horizontal="justify"/>
      <protection hidden="1"/>
    </xf>
    <xf numFmtId="0" fontId="45" fillId="11" borderId="15" xfId="0" applyFont="1" applyFill="1" applyBorder="1" applyAlignment="1" applyProtection="1">
      <alignment horizontal="justify"/>
      <protection hidden="1"/>
    </xf>
    <xf numFmtId="0" fontId="45" fillId="11" borderId="13" xfId="0" applyFont="1" applyFill="1" applyBorder="1" applyAlignment="1" applyProtection="1">
      <alignment horizontal="justify"/>
      <protection hidden="1"/>
    </xf>
    <xf numFmtId="0" fontId="45" fillId="11" borderId="19" xfId="0" applyFont="1" applyFill="1" applyBorder="1" applyAlignment="1" applyProtection="1">
      <alignment horizontal="justify"/>
      <protection hidden="1"/>
    </xf>
    <xf numFmtId="9" fontId="45" fillId="11" borderId="18" xfId="5" applyFont="1" applyFill="1" applyBorder="1" applyAlignment="1" applyProtection="1">
      <alignment vertical="center"/>
      <protection hidden="1"/>
    </xf>
    <xf numFmtId="9" fontId="45" fillId="11" borderId="18" xfId="5" applyFont="1" applyFill="1" applyBorder="1" applyAlignment="1" applyProtection="1">
      <alignment horizontal="justify" vertical="center"/>
      <protection hidden="1"/>
    </xf>
    <xf numFmtId="2" fontId="45" fillId="11" borderId="18" xfId="5" applyNumberFormat="1" applyFont="1" applyFill="1" applyBorder="1" applyAlignment="1" applyProtection="1">
      <alignment horizontal="justify"/>
      <protection hidden="1"/>
    </xf>
    <xf numFmtId="0" fontId="11" fillId="2" borderId="2" xfId="0" applyFont="1" applyFill="1" applyBorder="1" applyAlignment="1">
      <alignment horizontal="left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8" xfId="0" applyFont="1" applyBorder="1" applyAlignment="1" applyProtection="1">
      <alignment horizontal="left"/>
      <protection locked="0"/>
    </xf>
    <xf numFmtId="0" fontId="11" fillId="2" borderId="2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0" fontId="29" fillId="0" borderId="38" xfId="0" applyFont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11" fillId="2" borderId="16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169" fontId="6" fillId="2" borderId="9" xfId="0" applyNumberFormat="1" applyFont="1" applyFill="1" applyBorder="1" applyAlignment="1">
      <alignment horizontal="left" vertical="center" indent="5"/>
    </xf>
    <xf numFmtId="169" fontId="6" fillId="2" borderId="14" xfId="0" applyNumberFormat="1" applyFont="1" applyFill="1" applyBorder="1" applyAlignment="1">
      <alignment horizontal="left" vertical="center" indent="5"/>
    </xf>
    <xf numFmtId="169" fontId="6" fillId="2" borderId="5" xfId="0" applyNumberFormat="1" applyFont="1" applyFill="1" applyBorder="1" applyAlignment="1">
      <alignment horizontal="left" vertical="center" indent="5"/>
    </xf>
    <xf numFmtId="0" fontId="6" fillId="2" borderId="9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left" indent="5"/>
    </xf>
    <xf numFmtId="0" fontId="17" fillId="2" borderId="3" xfId="0" applyFont="1" applyFill="1" applyBorder="1" applyAlignment="1">
      <alignment horizontal="center"/>
    </xf>
    <xf numFmtId="0" fontId="17" fillId="2" borderId="10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0" fontId="12" fillId="2" borderId="8" xfId="0" applyFont="1" applyFill="1" applyBorder="1" applyAlignment="1">
      <alignment horizontal="center"/>
    </xf>
    <xf numFmtId="169" fontId="6" fillId="2" borderId="9" xfId="0" applyNumberFormat="1" applyFont="1" applyFill="1" applyBorder="1" applyAlignment="1">
      <alignment horizontal="center" vertical="center"/>
    </xf>
    <xf numFmtId="169" fontId="6" fillId="2" borderId="14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8" xfId="0" applyFont="1" applyBorder="1" applyAlignment="1" applyProtection="1">
      <alignment horizontal="left"/>
      <protection locked="0"/>
    </xf>
    <xf numFmtId="169" fontId="6" fillId="2" borderId="3" xfId="3" applyNumberFormat="1" applyFont="1" applyFill="1" applyBorder="1" applyAlignment="1">
      <alignment horizontal="center" vertical="center"/>
    </xf>
    <xf numFmtId="169" fontId="6" fillId="2" borderId="8" xfId="3" applyNumberFormat="1" applyFont="1" applyFill="1" applyBorder="1" applyAlignment="1">
      <alignment horizontal="center" vertical="center"/>
    </xf>
    <xf numFmtId="0" fontId="6" fillId="2" borderId="3" xfId="3" applyFont="1" applyFill="1" applyBorder="1" applyAlignment="1">
      <alignment horizontal="center"/>
    </xf>
    <xf numFmtId="0" fontId="6" fillId="2" borderId="8" xfId="3" applyFont="1" applyFill="1" applyBorder="1" applyAlignment="1">
      <alignment horizontal="center"/>
    </xf>
    <xf numFmtId="169" fontId="6" fillId="2" borderId="37" xfId="3" applyNumberFormat="1" applyFont="1" applyFill="1" applyBorder="1" applyAlignment="1">
      <alignment horizontal="left" vertical="center"/>
    </xf>
    <xf numFmtId="0" fontId="11" fillId="2" borderId="2" xfId="3" applyFont="1" applyFill="1" applyBorder="1" applyAlignment="1">
      <alignment horizontal="center"/>
    </xf>
    <xf numFmtId="0" fontId="6" fillId="2" borderId="40" xfId="3" applyFont="1" applyFill="1" applyBorder="1" applyAlignment="1">
      <alignment horizontal="center"/>
    </xf>
    <xf numFmtId="0" fontId="6" fillId="2" borderId="41" xfId="3" applyFont="1" applyFill="1" applyBorder="1" applyAlignment="1">
      <alignment horizontal="center"/>
    </xf>
    <xf numFmtId="0" fontId="6" fillId="2" borderId="42" xfId="3" applyFont="1" applyFill="1" applyBorder="1" applyAlignment="1">
      <alignment horizontal="center"/>
    </xf>
    <xf numFmtId="169" fontId="6" fillId="2" borderId="15" xfId="3" applyNumberFormat="1" applyFont="1" applyFill="1" applyBorder="1" applyAlignment="1">
      <alignment horizontal="left" vertical="center"/>
    </xf>
    <xf numFmtId="169" fontId="6" fillId="2" borderId="19" xfId="3" applyNumberFormat="1" applyFont="1" applyFill="1" applyBorder="1" applyAlignment="1">
      <alignment horizontal="left" vertical="center"/>
    </xf>
    <xf numFmtId="169" fontId="6" fillId="2" borderId="3" xfId="3" applyNumberFormat="1" applyFont="1" applyFill="1" applyBorder="1" applyAlignment="1">
      <alignment horizontal="left" vertical="center"/>
    </xf>
    <xf numFmtId="169" fontId="6" fillId="2" borderId="8" xfId="3" applyNumberFormat="1" applyFont="1" applyFill="1" applyBorder="1" applyAlignment="1">
      <alignment horizontal="left" vertical="center"/>
    </xf>
    <xf numFmtId="169" fontId="6" fillId="2" borderId="5" xfId="3" applyNumberFormat="1" applyFont="1" applyFill="1" applyBorder="1" applyAlignment="1">
      <alignment horizontal="left" vertical="center"/>
    </xf>
    <xf numFmtId="0" fontId="6" fillId="2" borderId="45" xfId="0" applyFont="1" applyFill="1" applyBorder="1" applyAlignment="1">
      <alignment horizontal="center" vertical="top" wrapText="1"/>
    </xf>
    <xf numFmtId="0" fontId="6" fillId="2" borderId="12" xfId="0" applyFont="1" applyFill="1" applyBorder="1" applyAlignment="1">
      <alignment horizontal="center" vertical="top" wrapText="1"/>
    </xf>
    <xf numFmtId="0" fontId="6" fillId="2" borderId="43" xfId="0" applyFont="1" applyFill="1" applyBorder="1" applyAlignment="1">
      <alignment horizontal="center" vertical="top" wrapText="1"/>
    </xf>
    <xf numFmtId="0" fontId="6" fillId="2" borderId="44" xfId="0" applyFont="1" applyFill="1" applyBorder="1" applyAlignment="1">
      <alignment horizontal="center" vertical="top" wrapText="1"/>
    </xf>
    <xf numFmtId="0" fontId="5" fillId="2" borderId="46" xfId="0" applyFont="1" applyFill="1" applyBorder="1" applyAlignment="1">
      <alignment horizontal="left"/>
    </xf>
    <xf numFmtId="0" fontId="5" fillId="2" borderId="47" xfId="0" applyFont="1" applyFill="1" applyBorder="1" applyAlignment="1">
      <alignment horizontal="left"/>
    </xf>
    <xf numFmtId="0" fontId="6" fillId="2" borderId="43" xfId="0" applyFont="1" applyFill="1" applyBorder="1" applyAlignment="1">
      <alignment horizontal="left" vertical="top" wrapText="1"/>
    </xf>
    <xf numFmtId="0" fontId="6" fillId="2" borderId="44" xfId="0" applyFont="1" applyFill="1" applyBorder="1" applyAlignment="1">
      <alignment horizontal="left" vertical="top" wrapText="1"/>
    </xf>
    <xf numFmtId="0" fontId="6" fillId="2" borderId="18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11" fillId="0" borderId="38" xfId="0" applyFont="1" applyBorder="1" applyAlignment="1">
      <alignment horizontal="center"/>
    </xf>
    <xf numFmtId="0" fontId="37" fillId="8" borderId="3" xfId="0" applyFont="1" applyFill="1" applyBorder="1" applyAlignment="1">
      <alignment horizontal="center"/>
    </xf>
    <xf numFmtId="0" fontId="37" fillId="8" borderId="8" xfId="0" applyFont="1" applyFill="1" applyBorder="1" applyAlignment="1">
      <alignment horizontal="center"/>
    </xf>
    <xf numFmtId="0" fontId="45" fillId="8" borderId="0" xfId="0" applyFont="1" applyFill="1" applyAlignment="1">
      <alignment horizontal="justify"/>
    </xf>
    <xf numFmtId="3" fontId="6" fillId="11" borderId="48" xfId="0" applyNumberFormat="1" applyFont="1" applyFill="1" applyBorder="1" applyAlignment="1">
      <alignment horizontal="center" vertical="center"/>
    </xf>
    <xf numFmtId="0" fontId="6" fillId="11" borderId="49" xfId="0" applyFont="1" applyFill="1" applyBorder="1" applyAlignment="1">
      <alignment horizontal="center" vertical="center"/>
    </xf>
    <xf numFmtId="0" fontId="37" fillId="12" borderId="3" xfId="0" applyFont="1" applyFill="1" applyBorder="1" applyAlignment="1">
      <alignment horizontal="center"/>
    </xf>
    <xf numFmtId="0" fontId="37" fillId="12" borderId="8" xfId="0" applyFont="1" applyFill="1" applyBorder="1" applyAlignment="1">
      <alignment horizontal="center"/>
    </xf>
    <xf numFmtId="0" fontId="46" fillId="3" borderId="50" xfId="0" applyFont="1" applyFill="1" applyBorder="1" applyAlignment="1">
      <alignment horizontal="justify"/>
    </xf>
    <xf numFmtId="0" fontId="6" fillId="0" borderId="3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45" fillId="11" borderId="3" xfId="0" applyFont="1" applyFill="1" applyBorder="1" applyAlignment="1" applyProtection="1">
      <protection hidden="1"/>
    </xf>
    <xf numFmtId="0" fontId="45" fillId="11" borderId="10" xfId="0" applyFont="1" applyFill="1" applyBorder="1" applyAlignment="1" applyProtection="1">
      <protection hidden="1"/>
    </xf>
    <xf numFmtId="0" fontId="45" fillId="11" borderId="8" xfId="0" applyFont="1" applyFill="1" applyBorder="1" applyAlignment="1" applyProtection="1">
      <protection hidden="1"/>
    </xf>
  </cellXfs>
  <cellStyles count="8">
    <cellStyle name="Moeda" xfId="1" builtinId="4"/>
    <cellStyle name="Normal" xfId="0" builtinId="0"/>
    <cellStyle name="Normal_Book1" xfId="2" xr:uid="{90F02096-0A19-4273-BDFE-C92E21C15DD3}"/>
    <cellStyle name="Normal_ModeloEconFinanceiro" xfId="3" xr:uid="{6D783475-6A5E-449F-8555-2BA03943E914}"/>
    <cellStyle name="Normal_ModeloInzym" xfId="4" xr:uid="{022ED3D7-31BC-4BA6-B6BF-6B1547DC780B}"/>
    <cellStyle name="Percentagem" xfId="5" builtinId="5"/>
    <cellStyle name="Percentagem_ModeloInzym" xfId="6" xr:uid="{06BB29F9-38E2-4421-A820-085E5AFACC45}"/>
    <cellStyle name="Vírgula" xfId="7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47625</xdr:rowOff>
    </xdr:from>
    <xdr:to>
      <xdr:col>2</xdr:col>
      <xdr:colOff>733425</xdr:colOff>
      <xdr:row>3</xdr:row>
      <xdr:rowOff>9525</xdr:rowOff>
    </xdr:to>
    <xdr:pic>
      <xdr:nvPicPr>
        <xdr:cNvPr id="11454" name="Picture 3" descr="NOVO LOGO - IAPMEI">
          <a:extLst>
            <a:ext uri="{FF2B5EF4-FFF2-40B4-BE49-F238E27FC236}">
              <a16:creationId xmlns:a16="http://schemas.microsoft.com/office/drawing/2014/main" id="{FFC6F327-ABD4-E703-AE67-7A8CC4F0BF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0</xdr:row>
      <xdr:rowOff>47625</xdr:rowOff>
    </xdr:from>
    <xdr:to>
      <xdr:col>2</xdr:col>
      <xdr:colOff>733425</xdr:colOff>
      <xdr:row>3</xdr:row>
      <xdr:rowOff>9525</xdr:rowOff>
    </xdr:to>
    <xdr:pic>
      <xdr:nvPicPr>
        <xdr:cNvPr id="11455" name="Picture 3" descr="NOVO LOGO - IAPMEI">
          <a:extLst>
            <a:ext uri="{FF2B5EF4-FFF2-40B4-BE49-F238E27FC236}">
              <a16:creationId xmlns:a16="http://schemas.microsoft.com/office/drawing/2014/main" id="{1ADAE79E-1715-95EF-F358-16ACE7F76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2459" name="Picture 2" descr="NOVO LOGO - IAPMEI">
          <a:extLst>
            <a:ext uri="{FF2B5EF4-FFF2-40B4-BE49-F238E27FC236}">
              <a16:creationId xmlns:a16="http://schemas.microsoft.com/office/drawing/2014/main" id="{D1A2DF63-B721-AFDC-2888-4536C49679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0</xdr:rowOff>
    </xdr:to>
    <xdr:pic>
      <xdr:nvPicPr>
        <xdr:cNvPr id="10496" name="Picture 5" descr="NOVO LOGO - IAPMEI">
          <a:extLst>
            <a:ext uri="{FF2B5EF4-FFF2-40B4-BE49-F238E27FC236}">
              <a16:creationId xmlns:a16="http://schemas.microsoft.com/office/drawing/2014/main" id="{C210FED3-FCEA-58C3-DBBB-BCFF1F345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0</xdr:rowOff>
    </xdr:to>
    <xdr:pic>
      <xdr:nvPicPr>
        <xdr:cNvPr id="13483" name="Picture 2" descr="NOVO LOGO - IAPMEI">
          <a:extLst>
            <a:ext uri="{FF2B5EF4-FFF2-40B4-BE49-F238E27FC236}">
              <a16:creationId xmlns:a16="http://schemas.microsoft.com/office/drawing/2014/main" id="{BAC18C4E-B138-18C3-5FEA-53E3A3228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4507" name="Picture 2" descr="NOVO LOGO - IAPMEI">
          <a:extLst>
            <a:ext uri="{FF2B5EF4-FFF2-40B4-BE49-F238E27FC236}">
              <a16:creationId xmlns:a16="http://schemas.microsoft.com/office/drawing/2014/main" id="{C1C2C899-B10B-9C39-8D4D-EB71E06550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5531" name="Picture 2" descr="NOVO LOGO - IAPMEI">
          <a:extLst>
            <a:ext uri="{FF2B5EF4-FFF2-40B4-BE49-F238E27FC236}">
              <a16:creationId xmlns:a16="http://schemas.microsoft.com/office/drawing/2014/main" id="{4BE2372C-FECF-51B1-6588-49D027D03D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3781" name="Picture 540" descr="NOVO LOGO - IAPMEI">
          <a:extLst>
            <a:ext uri="{FF2B5EF4-FFF2-40B4-BE49-F238E27FC236}">
              <a16:creationId xmlns:a16="http://schemas.microsoft.com/office/drawing/2014/main" id="{A8791AFB-31F9-029E-88CB-061A6730FD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47625</xdr:rowOff>
    </xdr:from>
    <xdr:to>
      <xdr:col>0</xdr:col>
      <xdr:colOff>1419225</xdr:colOff>
      <xdr:row>4</xdr:row>
      <xdr:rowOff>0</xdr:rowOff>
    </xdr:to>
    <xdr:pic>
      <xdr:nvPicPr>
        <xdr:cNvPr id="17579" name="Picture 2" descr="NOVO LOGO - IAPMEI">
          <a:extLst>
            <a:ext uri="{FF2B5EF4-FFF2-40B4-BE49-F238E27FC236}">
              <a16:creationId xmlns:a16="http://schemas.microsoft.com/office/drawing/2014/main" id="{C516DD14-0407-83F7-B4D7-6BF228E3A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21907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7550" name="Picture 1237" descr="NOVO LOGO - IAPMEI">
          <a:extLst>
            <a:ext uri="{FF2B5EF4-FFF2-40B4-BE49-F238E27FC236}">
              <a16:creationId xmlns:a16="http://schemas.microsoft.com/office/drawing/2014/main" id="{85B478B2-83C8-B6FE-1DEC-64BD41C81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23629" name="Picture 687" descr="NOVO LOGO - IAPMEI">
          <a:extLst>
            <a:ext uri="{FF2B5EF4-FFF2-40B4-BE49-F238E27FC236}">
              <a16:creationId xmlns:a16="http://schemas.microsoft.com/office/drawing/2014/main" id="{80B56E42-8C45-EDE1-BFDF-21AFA86131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5976" name="Picture 687" descr="NOVO LOGO - IAPMEI">
          <a:extLst>
            <a:ext uri="{FF2B5EF4-FFF2-40B4-BE49-F238E27FC236}">
              <a16:creationId xmlns:a16="http://schemas.microsoft.com/office/drawing/2014/main" id="{8CD2BBB6-7766-1D3C-3A31-EA774090A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8603" name="Picture 2" descr="NOVO LOGO - IAPMEI">
          <a:extLst>
            <a:ext uri="{FF2B5EF4-FFF2-40B4-BE49-F238E27FC236}">
              <a16:creationId xmlns:a16="http://schemas.microsoft.com/office/drawing/2014/main" id="{1BB3A335-57FB-A58C-4BC7-0FAF5D8085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9796" name="Picture 2" descr="NOVO LOGO - IAPMEI">
          <a:extLst>
            <a:ext uri="{FF2B5EF4-FFF2-40B4-BE49-F238E27FC236}">
              <a16:creationId xmlns:a16="http://schemas.microsoft.com/office/drawing/2014/main" id="{ADB99C2A-F27F-C7CE-E4CD-BD273D939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288290</xdr:colOff>
      <xdr:row>31</xdr:row>
      <xdr:rowOff>47625</xdr:rowOff>
    </xdr:from>
    <xdr:to>
      <xdr:col>0</xdr:col>
      <xdr:colOff>1509229</xdr:colOff>
      <xdr:row>33</xdr:row>
      <xdr:rowOff>48507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D383A41F-550E-ED1A-8BEC-93E133632472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38100</xdr:rowOff>
    </xdr:to>
    <xdr:pic>
      <xdr:nvPicPr>
        <xdr:cNvPr id="4954" name="Picture 689" descr="NOVO LOGO - IAPMEI">
          <a:extLst>
            <a:ext uri="{FF2B5EF4-FFF2-40B4-BE49-F238E27FC236}">
              <a16:creationId xmlns:a16="http://schemas.microsoft.com/office/drawing/2014/main" id="{BBE304F7-C769-A0E2-5E84-E4E63600E3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20652" name="Picture 2" descr="NOVO LOGO - IAPMEI">
          <a:extLst>
            <a:ext uri="{FF2B5EF4-FFF2-40B4-BE49-F238E27FC236}">
              <a16:creationId xmlns:a16="http://schemas.microsoft.com/office/drawing/2014/main" id="{EDBFBEEC-77F6-9393-6F15-5FB5024E2E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28575</xdr:rowOff>
    </xdr:to>
    <xdr:pic>
      <xdr:nvPicPr>
        <xdr:cNvPr id="1624" name="Picture 9" descr="NOVO LOGO - IAPMEI">
          <a:extLst>
            <a:ext uri="{FF2B5EF4-FFF2-40B4-BE49-F238E27FC236}">
              <a16:creationId xmlns:a16="http://schemas.microsoft.com/office/drawing/2014/main" id="{0A96BDAD-920C-8EE6-BF14-572FBE4967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302895</xdr:colOff>
      <xdr:row>50</xdr:row>
      <xdr:rowOff>80010</xdr:rowOff>
    </xdr:from>
    <xdr:to>
      <xdr:col>9</xdr:col>
      <xdr:colOff>308610</xdr:colOff>
      <xdr:row>63</xdr:row>
      <xdr:rowOff>7712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436CEF59-D4BD-2C24-A8F4-5DB36D2A09A4}"/>
            </a:ext>
          </a:extLst>
        </xdr:cNvPr>
        <xdr:cNvCxnSpPr/>
      </xdr:nvCxnSpPr>
      <xdr:spPr>
        <a:xfrm>
          <a:off x="8999220" y="6896100"/>
          <a:ext cx="5715" cy="1668819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364490</xdr:colOff>
      <xdr:row>60</xdr:row>
      <xdr:rowOff>88900</xdr:rowOff>
    </xdr:from>
    <xdr:to>
      <xdr:col>10</xdr:col>
      <xdr:colOff>2388</xdr:colOff>
      <xdr:row>60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4BC2C6D4-8587-BE77-5CC7-6203ADEAB987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364490</xdr:colOff>
      <xdr:row>62</xdr:row>
      <xdr:rowOff>86360</xdr:rowOff>
    </xdr:from>
    <xdr:to>
      <xdr:col>10</xdr:col>
      <xdr:colOff>2388</xdr:colOff>
      <xdr:row>62</xdr:row>
      <xdr:rowOff>86360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2CF6845C-E47C-70F8-E56E-27BEA030C006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30</xdr:row>
      <xdr:rowOff>7620</xdr:rowOff>
    </xdr:from>
    <xdr:to>
      <xdr:col>9</xdr:col>
      <xdr:colOff>219075</xdr:colOff>
      <xdr:row>39</xdr:row>
      <xdr:rowOff>41903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2A900CE5-4B15-4E3B-2678-62C251FF9955}"/>
            </a:ext>
          </a:extLst>
        </xdr:cNvPr>
        <xdr:cNvCxnSpPr/>
      </xdr:nvCxnSpPr>
      <xdr:spPr>
        <a:xfrm flipH="1">
          <a:off x="8905875" y="4137660"/>
          <a:ext cx="9525" cy="1259162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328295</xdr:colOff>
      <xdr:row>36</xdr:row>
      <xdr:rowOff>116840</xdr:rowOff>
    </xdr:from>
    <xdr:to>
      <xdr:col>9</xdr:col>
      <xdr:colOff>542165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8659CD6E-BEA6-32E6-86B9-B2D1542F6C9C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368300</xdr:colOff>
      <xdr:row>38</xdr:row>
      <xdr:rowOff>104775</xdr:rowOff>
    </xdr:from>
    <xdr:to>
      <xdr:col>10</xdr:col>
      <xdr:colOff>3128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967A48DD-557E-9841-663E-02B1EEED20CD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305435</xdr:colOff>
      <xdr:row>17</xdr:row>
      <xdr:rowOff>111125</xdr:rowOff>
    </xdr:from>
    <xdr:to>
      <xdr:col>9</xdr:col>
      <xdr:colOff>520634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BC936497-4BF6-264E-CD18-12499C737A16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327660</xdr:colOff>
      <xdr:row>19</xdr:row>
      <xdr:rowOff>104775</xdr:rowOff>
    </xdr:from>
    <xdr:to>
      <xdr:col>9</xdr:col>
      <xdr:colOff>529382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B1593088-11F4-9DC4-2D2C-5627DBC2084C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226695</xdr:colOff>
      <xdr:row>10</xdr:row>
      <xdr:rowOff>15240</xdr:rowOff>
    </xdr:from>
    <xdr:to>
      <xdr:col>9</xdr:col>
      <xdr:colOff>232410</xdr:colOff>
      <xdr:row>20</xdr:row>
      <xdr:rowOff>1894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08088B45-037E-C244-24B2-EE5FA79F022E}"/>
            </a:ext>
          </a:extLst>
        </xdr:cNvPr>
        <xdr:cNvCxnSpPr/>
      </xdr:nvCxnSpPr>
      <xdr:spPr>
        <a:xfrm>
          <a:off x="8923020" y="1402080"/>
          <a:ext cx="5715" cy="1350634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47625</xdr:rowOff>
    </xdr:from>
    <xdr:to>
      <xdr:col>0</xdr:col>
      <xdr:colOff>1419225</xdr:colOff>
      <xdr:row>3</xdr:row>
      <xdr:rowOff>38100</xdr:rowOff>
    </xdr:to>
    <xdr:pic>
      <xdr:nvPicPr>
        <xdr:cNvPr id="22628" name="Picture 2" descr="NOVO LOGO - IAPMEI">
          <a:extLst>
            <a:ext uri="{FF2B5EF4-FFF2-40B4-BE49-F238E27FC236}">
              <a16:creationId xmlns:a16="http://schemas.microsoft.com/office/drawing/2014/main" id="{FF98A70C-B225-250C-46D4-0ACD4372D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7625"/>
          <a:ext cx="1323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rf/Os%20meus%20documentos/PESS/MBA/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/ClientesActivos/Collab/Or&#231;mto%202006%20v2/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D7EE-814D-4529-93A0-C122606EA7C7}">
  <sheetPr codeName="Folha1">
    <pageSetUpPr fitToPage="1"/>
  </sheetPr>
  <dimension ref="B1:C49"/>
  <sheetViews>
    <sheetView showGridLines="0" topLeftCell="A21" workbookViewId="0">
      <selection activeCell="J7" sqref="J7"/>
    </sheetView>
  </sheetViews>
  <sheetFormatPr defaultRowHeight="12.75"/>
  <cols>
    <col min="1" max="1" width="3.7109375" style="13" customWidth="1"/>
    <col min="2" max="2" width="9.140625" style="13"/>
    <col min="3" max="3" width="88.5703125" style="13" customWidth="1"/>
    <col min="4" max="16384" width="9.140625" style="13"/>
  </cols>
  <sheetData>
    <row r="1" spans="2:3" ht="13.5">
      <c r="B1" s="12"/>
      <c r="C1" s="429" t="s">
        <v>0</v>
      </c>
    </row>
    <row r="2" spans="2:3" ht="13.5">
      <c r="B2" s="12"/>
      <c r="C2" s="430"/>
    </row>
    <row r="3" spans="2:3" ht="13.5">
      <c r="B3" s="12"/>
      <c r="C3" s="430"/>
    </row>
    <row r="4" spans="2:3" ht="15.75">
      <c r="B4" s="432" t="s">
        <v>1</v>
      </c>
      <c r="C4" s="432"/>
    </row>
    <row r="5" spans="2:3" ht="13.5">
      <c r="B5" s="12"/>
      <c r="C5" s="12"/>
    </row>
    <row r="6" spans="2:3" s="398" customFormat="1" ht="13.9" customHeight="1">
      <c r="B6" s="434" t="s">
        <v>2</v>
      </c>
      <c r="C6" s="434"/>
    </row>
    <row r="7" spans="2:3" s="398" customFormat="1" ht="28.9" customHeight="1">
      <c r="B7" s="434"/>
      <c r="C7" s="434"/>
    </row>
    <row r="8" spans="2:3" s="398" customFormat="1" ht="36.6" customHeight="1">
      <c r="B8" s="434"/>
      <c r="C8" s="434"/>
    </row>
    <row r="9" spans="2:3" ht="13.5">
      <c r="B9" s="12"/>
      <c r="C9" s="12"/>
    </row>
    <row r="10" spans="2:3" ht="13.5">
      <c r="B10" s="9" t="s">
        <v>3</v>
      </c>
      <c r="C10" s="12"/>
    </row>
    <row r="11" spans="2:3" ht="8.4499999999999993" customHeight="1">
      <c r="B11" s="9"/>
      <c r="C11" s="12"/>
    </row>
    <row r="12" spans="2:3">
      <c r="B12" s="433" t="s">
        <v>4</v>
      </c>
      <c r="C12" s="433"/>
    </row>
    <row r="13" spans="2:3">
      <c r="B13" s="433" t="s">
        <v>5</v>
      </c>
      <c r="C13" s="433"/>
    </row>
    <row r="14" spans="2:3" ht="12.75" customHeight="1">
      <c r="B14" s="431" t="s">
        <v>6</v>
      </c>
      <c r="C14" s="431"/>
    </row>
    <row r="15" spans="2:3" ht="12.75" customHeight="1">
      <c r="B15" s="431" t="s">
        <v>7</v>
      </c>
      <c r="C15" s="431"/>
    </row>
    <row r="16" spans="2:3" ht="8.4499999999999993" customHeight="1">
      <c r="B16" s="9"/>
      <c r="C16" s="12"/>
    </row>
    <row r="17" spans="2:3" ht="13.5">
      <c r="B17" s="9" t="s">
        <v>8</v>
      </c>
      <c r="C17" s="12"/>
    </row>
    <row r="18" spans="2:3" ht="13.5">
      <c r="B18" s="9"/>
      <c r="C18" s="12"/>
    </row>
    <row r="19" spans="2:3" ht="40.5" customHeight="1">
      <c r="B19" s="15">
        <v>1</v>
      </c>
      <c r="C19" s="14" t="s">
        <v>9</v>
      </c>
    </row>
    <row r="20" spans="2:3" ht="8.4499999999999993" customHeight="1">
      <c r="B20" s="9"/>
      <c r="C20" s="12"/>
    </row>
    <row r="21" spans="2:3" ht="22.9" customHeight="1">
      <c r="B21" s="15">
        <v>2</v>
      </c>
      <c r="C21" s="14" t="s">
        <v>10</v>
      </c>
    </row>
    <row r="22" spans="2:3" ht="6.6" customHeight="1">
      <c r="B22" s="9"/>
      <c r="C22" s="12"/>
    </row>
    <row r="23" spans="2:3" ht="40.5" customHeight="1">
      <c r="B23" s="15">
        <v>3</v>
      </c>
      <c r="C23" s="14" t="s">
        <v>11</v>
      </c>
    </row>
    <row r="24" spans="2:3" ht="6.6" customHeight="1">
      <c r="B24" s="10"/>
      <c r="C24" s="10"/>
    </row>
    <row r="25" spans="2:3" ht="25.5" customHeight="1">
      <c r="B25" s="15">
        <v>4</v>
      </c>
      <c r="C25" s="14" t="s">
        <v>12</v>
      </c>
    </row>
    <row r="26" spans="2:3" ht="6.6" customHeight="1">
      <c r="B26" s="10"/>
      <c r="C26" s="10"/>
    </row>
    <row r="27" spans="2:3" ht="25.5" customHeight="1">
      <c r="B27" s="15">
        <v>5</v>
      </c>
      <c r="C27" s="14" t="s">
        <v>13</v>
      </c>
    </row>
    <row r="28" spans="2:3" ht="6.6" customHeight="1">
      <c r="B28" s="10"/>
      <c r="C28" s="10"/>
    </row>
    <row r="29" spans="2:3" ht="25.5" customHeight="1">
      <c r="B29" s="15">
        <v>6</v>
      </c>
      <c r="C29" s="14" t="s">
        <v>14</v>
      </c>
    </row>
    <row r="30" spans="2:3" ht="6.6" customHeight="1">
      <c r="B30" s="11"/>
      <c r="C30" s="12"/>
    </row>
    <row r="31" spans="2:3" ht="25.5" customHeight="1">
      <c r="B31" s="15">
        <v>7</v>
      </c>
      <c r="C31" s="14" t="s">
        <v>15</v>
      </c>
    </row>
    <row r="32" spans="2:3" ht="6.6" customHeight="1">
      <c r="B32" s="12"/>
      <c r="C32" s="12"/>
    </row>
    <row r="33" spans="2:3" ht="25.5" customHeight="1">
      <c r="B33" s="15">
        <v>8</v>
      </c>
      <c r="C33" s="14" t="s">
        <v>16</v>
      </c>
    </row>
    <row r="34" spans="2:3" ht="6.6" customHeight="1">
      <c r="B34" s="12"/>
      <c r="C34" s="12"/>
    </row>
    <row r="35" spans="2:3" ht="40.5" customHeight="1">
      <c r="B35" s="15">
        <v>9</v>
      </c>
      <c r="C35" s="14" t="s">
        <v>17</v>
      </c>
    </row>
    <row r="36" spans="2:3" ht="6.6" customHeight="1">
      <c r="B36" s="12"/>
      <c r="C36" s="12"/>
    </row>
    <row r="37" spans="2:3" ht="25.5" customHeight="1">
      <c r="B37" s="15">
        <v>10</v>
      </c>
      <c r="C37" s="14" t="s">
        <v>18</v>
      </c>
    </row>
    <row r="38" spans="2:3" ht="6.6" customHeight="1">
      <c r="B38" s="12"/>
      <c r="C38" s="12"/>
    </row>
    <row r="39" spans="2:3" ht="57" customHeight="1">
      <c r="B39" s="15">
        <v>11</v>
      </c>
      <c r="C39" s="14" t="s">
        <v>19</v>
      </c>
    </row>
    <row r="40" spans="2:3" ht="6.6" customHeight="1">
      <c r="B40" s="12"/>
      <c r="C40" s="12"/>
    </row>
    <row r="41" spans="2:3" ht="25.5" customHeight="1">
      <c r="B41" s="15">
        <v>12</v>
      </c>
      <c r="C41" s="14" t="s">
        <v>20</v>
      </c>
    </row>
    <row r="42" spans="2:3" ht="6.6" customHeight="1">
      <c r="B42" s="12"/>
      <c r="C42" s="12"/>
    </row>
    <row r="43" spans="2:3" ht="63.75">
      <c r="B43" s="15">
        <v>13</v>
      </c>
      <c r="C43" s="14" t="s">
        <v>21</v>
      </c>
    </row>
    <row r="44" spans="2:3" ht="6.6" customHeight="1">
      <c r="B44" s="12"/>
      <c r="C44" s="12"/>
    </row>
    <row r="45" spans="2:3">
      <c r="B45" s="15">
        <v>14</v>
      </c>
      <c r="C45" s="14" t="s">
        <v>22</v>
      </c>
    </row>
    <row r="46" spans="2:3" ht="6.6" customHeight="1">
      <c r="B46" s="12"/>
      <c r="C46" s="12"/>
    </row>
    <row r="47" spans="2:3" ht="25.5">
      <c r="B47" s="15">
        <v>15</v>
      </c>
      <c r="C47" s="14" t="s">
        <v>23</v>
      </c>
    </row>
    <row r="48" spans="2:3" ht="6.6" customHeight="1">
      <c r="B48" s="12"/>
      <c r="C48" s="12"/>
    </row>
    <row r="49" spans="2:3" ht="25.5">
      <c r="B49" s="15" t="s">
        <v>24</v>
      </c>
      <c r="C49" s="14" t="s">
        <v>25</v>
      </c>
    </row>
  </sheetData>
  <sheetProtection password="8318" sheet="1" objects="1" scenarios="1"/>
  <mergeCells count="7">
    <mergeCell ref="C1:C3"/>
    <mergeCell ref="B14:C14"/>
    <mergeCell ref="B15:C15"/>
    <mergeCell ref="B4:C4"/>
    <mergeCell ref="B12:C12"/>
    <mergeCell ref="B13:C13"/>
    <mergeCell ref="B6:C8"/>
  </mergeCells>
  <phoneticPr fontId="18" type="noConversion"/>
  <printOptions horizontalCentered="1"/>
  <pageMargins left="0.75" right="0.75" top="0.59055118110236227" bottom="0.59055118110236227" header="0.51181102362204722" footer="0.51181102362204722"/>
  <pageSetup paperSize="9" scale="94" orientation="portrait" r:id="rId1"/>
  <headerFooter alignWithMargins="0">
    <oddFooter>&amp;C&amp;"Arial,Normal"&amp;8IAPMEI&amp;R&amp;"Arial,Normal"&amp;8&amp;P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44268-CFAE-4E1B-AE10-B05933EA05A8}">
  <sheetPr codeName="Sheet1">
    <pageSetUpPr fitToPage="1"/>
  </sheetPr>
  <dimension ref="A1:F56"/>
  <sheetViews>
    <sheetView showGridLines="0" zoomScaleNormal="100" workbookViewId="0">
      <selection activeCell="D26" sqref="D26"/>
    </sheetView>
  </sheetViews>
  <sheetFormatPr defaultColWidth="8.7109375" defaultRowHeight="12.75"/>
  <cols>
    <col min="1" max="1" width="34.28515625" style="16" bestFit="1" customWidth="1"/>
    <col min="2" max="2" width="12.28515625" style="408" customWidth="1"/>
    <col min="3" max="3" width="15.7109375" style="16" customWidth="1"/>
    <col min="4" max="4" width="16.42578125" style="16" customWidth="1"/>
    <col min="5" max="5" width="13.7109375" style="16" customWidth="1"/>
    <col min="6" max="16384" width="8.7109375" style="16"/>
  </cols>
  <sheetData>
    <row r="1" spans="1:5" ht="13.5">
      <c r="A1" s="21"/>
      <c r="B1" s="399"/>
      <c r="C1" s="22"/>
      <c r="D1" s="27" t="s">
        <v>26</v>
      </c>
      <c r="E1" s="248" t="s">
        <v>27</v>
      </c>
    </row>
    <row r="2" spans="1:5">
      <c r="A2" s="2"/>
      <c r="B2" s="400"/>
      <c r="C2" s="2"/>
      <c r="D2" s="2"/>
      <c r="E2" s="2"/>
    </row>
    <row r="3" spans="1:5">
      <c r="A3" s="2"/>
      <c r="B3" s="400"/>
      <c r="C3" s="2"/>
      <c r="D3" s="2"/>
      <c r="E3" s="2"/>
    </row>
    <row r="4" spans="1:5" ht="15.75">
      <c r="A4" s="437" t="s">
        <v>28</v>
      </c>
      <c r="B4" s="437"/>
      <c r="C4" s="437"/>
      <c r="D4" s="437"/>
      <c r="E4" s="437"/>
    </row>
    <row r="5" spans="1:5">
      <c r="A5" s="2"/>
      <c r="B5" s="400"/>
      <c r="C5" s="2"/>
      <c r="D5" s="2"/>
      <c r="E5" s="1"/>
    </row>
    <row r="6" spans="1:5" ht="15.75">
      <c r="A6" s="438" t="s">
        <v>29</v>
      </c>
      <c r="B6" s="438"/>
      <c r="C6" s="438"/>
      <c r="D6" s="438"/>
      <c r="E6" s="438"/>
    </row>
    <row r="7" spans="1:5">
      <c r="A7" s="2"/>
      <c r="B7" s="400"/>
      <c r="C7" s="2"/>
      <c r="D7" s="2"/>
      <c r="E7" s="1"/>
    </row>
    <row r="8" spans="1:5">
      <c r="A8" s="2"/>
      <c r="B8" s="400"/>
      <c r="C8" s="23"/>
      <c r="D8" s="24"/>
      <c r="E8" s="25"/>
    </row>
    <row r="9" spans="1:5">
      <c r="A9" s="5" t="s">
        <v>30</v>
      </c>
      <c r="B9" s="401" t="s">
        <v>31</v>
      </c>
      <c r="C9" s="23"/>
      <c r="D9" s="24"/>
      <c r="E9" s="25"/>
    </row>
    <row r="10" spans="1:5">
      <c r="A10" s="2"/>
      <c r="B10" s="400"/>
      <c r="C10" s="23"/>
      <c r="D10" s="24"/>
      <c r="E10" s="25"/>
    </row>
    <row r="11" spans="1:5">
      <c r="A11" s="5" t="s">
        <v>32</v>
      </c>
      <c r="B11" s="402">
        <v>2024</v>
      </c>
      <c r="C11" s="381" t="s">
        <v>33</v>
      </c>
      <c r="D11" s="24"/>
      <c r="E11" s="25"/>
    </row>
    <row r="12" spans="1:5">
      <c r="A12" s="2"/>
      <c r="B12" s="400"/>
      <c r="C12" s="23"/>
      <c r="D12" s="24"/>
      <c r="E12" s="25"/>
    </row>
    <row r="13" spans="1:5">
      <c r="A13" s="5" t="s">
        <v>34</v>
      </c>
      <c r="B13" s="402">
        <v>30</v>
      </c>
      <c r="C13" s="422">
        <f>+B13/30</f>
        <v>1</v>
      </c>
      <c r="D13" s="450" t="s">
        <v>35</v>
      </c>
      <c r="E13" s="25"/>
    </row>
    <row r="14" spans="1:5">
      <c r="A14" s="5" t="s">
        <v>36</v>
      </c>
      <c r="B14" s="403">
        <v>30</v>
      </c>
      <c r="C14" s="422">
        <f>+B14/30</f>
        <v>1</v>
      </c>
      <c r="D14" s="450"/>
      <c r="E14" s="25"/>
    </row>
    <row r="15" spans="1:5">
      <c r="A15" s="5" t="s">
        <v>37</v>
      </c>
      <c r="B15" s="403">
        <v>15</v>
      </c>
      <c r="C15" s="422">
        <f>+B15/30</f>
        <v>0.5</v>
      </c>
      <c r="D15" s="450"/>
      <c r="E15" s="25"/>
    </row>
    <row r="16" spans="1:5">
      <c r="A16" s="2"/>
      <c r="B16" s="400"/>
      <c r="C16" s="23"/>
      <c r="D16" s="24"/>
      <c r="E16" s="25"/>
    </row>
    <row r="17" spans="1:5">
      <c r="A17" s="5" t="s">
        <v>38</v>
      </c>
      <c r="B17" s="404">
        <v>0.23</v>
      </c>
      <c r="C17" s="449" t="s">
        <v>39</v>
      </c>
      <c r="D17" s="26"/>
      <c r="E17" s="25"/>
    </row>
    <row r="18" spans="1:5">
      <c r="A18" s="5" t="s">
        <v>40</v>
      </c>
      <c r="B18" s="404">
        <v>0.23</v>
      </c>
      <c r="C18" s="449"/>
      <c r="D18" s="26"/>
      <c r="E18" s="25"/>
    </row>
    <row r="19" spans="1:5">
      <c r="A19" s="5" t="s">
        <v>41</v>
      </c>
      <c r="B19" s="404">
        <v>0.23</v>
      </c>
      <c r="C19" s="449"/>
      <c r="D19" s="26"/>
      <c r="E19" s="25"/>
    </row>
    <row r="20" spans="1:5">
      <c r="A20" s="5" t="s">
        <v>42</v>
      </c>
      <c r="B20" s="404">
        <v>0.23</v>
      </c>
      <c r="C20" s="449"/>
      <c r="D20" s="26"/>
      <c r="E20" s="25"/>
    </row>
    <row r="21" spans="1:5">
      <c r="A21" s="5" t="s">
        <v>43</v>
      </c>
      <c r="B21" s="404">
        <v>0.23</v>
      </c>
      <c r="C21" s="449"/>
      <c r="D21" s="26"/>
      <c r="E21" s="25"/>
    </row>
    <row r="22" spans="1:5">
      <c r="A22" s="2"/>
      <c r="B22" s="400"/>
      <c r="C22" s="23"/>
      <c r="D22" s="24"/>
      <c r="E22" s="25"/>
    </row>
    <row r="23" spans="1:5">
      <c r="A23" s="5" t="s">
        <v>44</v>
      </c>
      <c r="B23" s="404">
        <v>0.23749999999999999</v>
      </c>
      <c r="C23" s="448" t="s">
        <v>45</v>
      </c>
      <c r="D23" s="24"/>
      <c r="E23" s="25"/>
    </row>
    <row r="24" spans="1:5">
      <c r="A24" s="5" t="s">
        <v>46</v>
      </c>
      <c r="B24" s="404">
        <v>0.23749999999999999</v>
      </c>
      <c r="C24" s="448"/>
      <c r="D24" s="24"/>
      <c r="E24" s="25"/>
    </row>
    <row r="25" spans="1:5">
      <c r="A25" s="5" t="s">
        <v>47</v>
      </c>
      <c r="B25" s="404">
        <v>0.11</v>
      </c>
      <c r="C25" s="448"/>
      <c r="D25" s="24"/>
      <c r="E25" s="25"/>
    </row>
    <row r="26" spans="1:5">
      <c r="A26" s="5" t="s">
        <v>48</v>
      </c>
      <c r="B26" s="404">
        <v>0.11</v>
      </c>
      <c r="C26" s="448"/>
      <c r="D26" s="24"/>
      <c r="E26" s="25"/>
    </row>
    <row r="27" spans="1:5">
      <c r="A27" s="5" t="s">
        <v>49</v>
      </c>
      <c r="B27" s="405">
        <v>0.15</v>
      </c>
      <c r="C27" s="381" t="s">
        <v>50</v>
      </c>
      <c r="D27" s="24"/>
      <c r="E27" s="25"/>
    </row>
    <row r="28" spans="1:5" ht="13.5" customHeight="1">
      <c r="A28" s="5" t="s">
        <v>51</v>
      </c>
      <c r="B28" s="404">
        <v>0.25</v>
      </c>
      <c r="C28" s="381" t="s">
        <v>52</v>
      </c>
      <c r="D28" s="24"/>
      <c r="E28" s="25"/>
    </row>
    <row r="29" spans="1:5">
      <c r="A29" s="2"/>
      <c r="B29" s="400"/>
      <c r="C29" s="23"/>
      <c r="D29" s="24"/>
      <c r="E29" s="25"/>
    </row>
    <row r="30" spans="1:5">
      <c r="A30" s="5" t="s">
        <v>53</v>
      </c>
      <c r="B30" s="404">
        <v>0.01</v>
      </c>
      <c r="C30" s="435" t="s">
        <v>54</v>
      </c>
      <c r="D30" s="24"/>
      <c r="E30" s="25"/>
    </row>
    <row r="31" spans="1:5">
      <c r="A31" s="5" t="s">
        <v>55</v>
      </c>
      <c r="B31" s="404">
        <v>0.01</v>
      </c>
      <c r="C31" s="435"/>
      <c r="D31" s="24"/>
      <c r="E31" s="25"/>
    </row>
    <row r="32" spans="1:5">
      <c r="A32" s="5" t="s">
        <v>56</v>
      </c>
      <c r="B32" s="404">
        <v>0.01</v>
      </c>
      <c r="C32" s="435"/>
      <c r="D32" s="24"/>
      <c r="E32" s="25"/>
    </row>
    <row r="33" spans="1:5">
      <c r="A33" s="2"/>
      <c r="B33" s="400"/>
      <c r="C33" s="23"/>
      <c r="D33" s="24"/>
      <c r="E33" s="25"/>
    </row>
    <row r="34" spans="1:5">
      <c r="A34" s="5" t="s">
        <v>57</v>
      </c>
      <c r="B34" s="406">
        <v>2.5000000000000001E-3</v>
      </c>
      <c r="C34" s="521" t="s">
        <v>58</v>
      </c>
      <c r="D34" s="522"/>
      <c r="E34" s="523"/>
    </row>
    <row r="35" spans="1:5">
      <c r="A35" s="5" t="s">
        <v>59</v>
      </c>
      <c r="B35" s="406">
        <v>0.05</v>
      </c>
      <c r="C35" s="521" t="s">
        <v>60</v>
      </c>
      <c r="D35" s="522"/>
      <c r="E35" s="523"/>
    </row>
    <row r="36" spans="1:5">
      <c r="A36" s="5" t="s">
        <v>61</v>
      </c>
      <c r="B36" s="406">
        <v>1</v>
      </c>
      <c r="C36" s="521" t="s">
        <v>62</v>
      </c>
      <c r="D36" s="522"/>
      <c r="E36" s="523"/>
    </row>
    <row r="37" spans="1:5" ht="10.15" customHeight="1">
      <c r="A37" s="5" t="s">
        <v>63</v>
      </c>
      <c r="B37" s="407">
        <v>1E-4</v>
      </c>
      <c r="C37" s="439" t="s">
        <v>64</v>
      </c>
      <c r="D37" s="440"/>
      <c r="E37" s="441"/>
    </row>
    <row r="38" spans="1:5">
      <c r="A38" s="2" t="s">
        <v>65</v>
      </c>
      <c r="B38" s="400"/>
      <c r="C38" s="442"/>
      <c r="D38" s="443"/>
      <c r="E38" s="444"/>
    </row>
    <row r="39" spans="1:5">
      <c r="A39" s="2"/>
      <c r="B39" s="400"/>
      <c r="C39" s="445"/>
      <c r="D39" s="446"/>
      <c r="E39" s="447"/>
    </row>
    <row r="40" spans="1:5">
      <c r="A40" s="7" t="s">
        <v>66</v>
      </c>
      <c r="B40" s="400"/>
      <c r="C40" s="23"/>
      <c r="D40" s="24"/>
      <c r="E40" s="25"/>
    </row>
    <row r="41" spans="1:5">
      <c r="A41" s="2"/>
      <c r="B41" s="400"/>
      <c r="C41" s="23"/>
      <c r="D41" s="24"/>
      <c r="E41" s="25"/>
    </row>
    <row r="42" spans="1:5">
      <c r="A42" s="4" t="s">
        <v>67</v>
      </c>
      <c r="B42" s="400"/>
      <c r="C42" s="44"/>
      <c r="D42" s="26"/>
      <c r="E42" s="25"/>
    </row>
    <row r="43" spans="1:5" ht="19.149999999999999" customHeight="1">
      <c r="A43" s="436" t="s">
        <v>68</v>
      </c>
      <c r="B43" s="436"/>
      <c r="C43" s="436"/>
      <c r="D43" s="436"/>
      <c r="E43" s="436"/>
    </row>
    <row r="44" spans="1:5" ht="19.149999999999999" customHeight="1">
      <c r="A44" s="436"/>
      <c r="B44" s="436"/>
      <c r="C44" s="436"/>
      <c r="D44" s="436"/>
      <c r="E44" s="436"/>
    </row>
    <row r="45" spans="1:5" ht="15.6" customHeight="1">
      <c r="A45" s="436"/>
      <c r="B45" s="436"/>
      <c r="C45" s="436"/>
      <c r="D45" s="436"/>
      <c r="E45" s="436"/>
    </row>
    <row r="46" spans="1:5" ht="16.899999999999999" customHeight="1">
      <c r="A46" s="436"/>
      <c r="B46" s="436"/>
      <c r="C46" s="436"/>
      <c r="D46" s="436"/>
      <c r="E46" s="436"/>
    </row>
    <row r="47" spans="1:5" ht="17.25" customHeight="1">
      <c r="A47" s="436"/>
      <c r="B47" s="436"/>
      <c r="C47" s="436"/>
      <c r="D47" s="436"/>
      <c r="E47" s="436"/>
    </row>
    <row r="48" spans="1:5" ht="10.15" customHeight="1">
      <c r="A48" s="421"/>
      <c r="B48" s="421"/>
      <c r="C48" s="421"/>
      <c r="D48" s="421"/>
      <c r="E48" s="421"/>
    </row>
    <row r="49" spans="1:6">
      <c r="A49" s="4" t="s">
        <v>69</v>
      </c>
      <c r="B49" s="400"/>
      <c r="C49" s="44"/>
      <c r="D49" s="26"/>
      <c r="E49" s="25"/>
    </row>
    <row r="50" spans="1:6">
      <c r="A50" s="436" t="s">
        <v>70</v>
      </c>
      <c r="B50" s="436"/>
      <c r="C50" s="436"/>
      <c r="D50" s="436"/>
      <c r="E50" s="436"/>
    </row>
    <row r="51" spans="1:6">
      <c r="A51" s="436"/>
      <c r="B51" s="436"/>
      <c r="C51" s="436"/>
      <c r="D51" s="436"/>
      <c r="E51" s="436"/>
    </row>
    <row r="52" spans="1:6">
      <c r="A52" s="436"/>
      <c r="B52" s="436"/>
      <c r="C52" s="436"/>
      <c r="D52" s="436"/>
      <c r="E52" s="436"/>
    </row>
    <row r="53" spans="1:6">
      <c r="A53" s="436"/>
      <c r="B53" s="436"/>
      <c r="C53" s="436"/>
      <c r="D53" s="436"/>
      <c r="E53" s="436"/>
    </row>
    <row r="54" spans="1:6">
      <c r="A54" s="436"/>
      <c r="B54" s="436"/>
      <c r="C54" s="436"/>
      <c r="D54" s="436"/>
      <c r="E54" s="436"/>
    </row>
    <row r="55" spans="1:6">
      <c r="D55" s="19"/>
      <c r="E55" s="17"/>
    </row>
    <row r="56" spans="1:6">
      <c r="D56" s="20"/>
      <c r="F56" s="18"/>
    </row>
  </sheetData>
  <sheetProtection password="8318" sheet="1"/>
  <mergeCells count="12">
    <mergeCell ref="C30:C32"/>
    <mergeCell ref="C36:E36"/>
    <mergeCell ref="A43:E47"/>
    <mergeCell ref="A50:E54"/>
    <mergeCell ref="A4:E4"/>
    <mergeCell ref="C34:E34"/>
    <mergeCell ref="C35:E35"/>
    <mergeCell ref="A6:E6"/>
    <mergeCell ref="C37:E39"/>
    <mergeCell ref="C23:C26"/>
    <mergeCell ref="C17:C21"/>
    <mergeCell ref="D13:D15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orientation="portrait" horizontalDpi="4294967293" verticalDpi="200" r:id="rId1"/>
  <headerFooter alignWithMargins="0">
    <oddFooter>&amp;C&amp;"Arial,Normal"&amp;8IAPMEI&amp;R&amp;"Arial,Normal"&amp;8&amp;N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1A316-1ECB-4D65-8A2D-3062452D443D}">
  <sheetPr codeName="Sheet3"/>
  <dimension ref="A1:J203"/>
  <sheetViews>
    <sheetView showGridLines="0" topLeftCell="A70" zoomScaleNormal="100" workbookViewId="0">
      <selection activeCell="I7" sqref="I7"/>
    </sheetView>
  </sheetViews>
  <sheetFormatPr defaultColWidth="8.7109375" defaultRowHeight="13.5"/>
  <cols>
    <col min="1" max="1" width="37.5703125" style="50" customWidth="1"/>
    <col min="2" max="2" width="7.85546875" style="50" customWidth="1"/>
    <col min="3" max="14" width="11.42578125" style="50" customWidth="1"/>
    <col min="15" max="16384" width="8.7109375" style="50"/>
  </cols>
  <sheetData>
    <row r="1" spans="1:8" ht="14.25">
      <c r="A1" s="46"/>
      <c r="B1" s="46"/>
      <c r="C1" s="47"/>
      <c r="D1" s="47"/>
      <c r="E1" s="47"/>
      <c r="F1" s="47"/>
      <c r="G1" s="48" t="s">
        <v>26</v>
      </c>
      <c r="H1" s="49" t="str">
        <f>+Pressupostos!E1</f>
        <v>WAITR</v>
      </c>
    </row>
    <row r="2" spans="1:8">
      <c r="A2" s="51" t="s">
        <v>71</v>
      </c>
      <c r="B2" s="47"/>
      <c r="C2" s="47"/>
      <c r="D2" s="47"/>
      <c r="E2" s="47"/>
      <c r="F2" s="47"/>
      <c r="G2" s="47"/>
      <c r="H2" s="52" t="str">
        <f>+Pressupostos!B9</f>
        <v>Euros</v>
      </c>
    </row>
    <row r="3" spans="1:8">
      <c r="A3" s="51"/>
      <c r="B3" s="47"/>
      <c r="C3" s="47"/>
      <c r="D3" s="47"/>
      <c r="E3" s="47"/>
      <c r="F3" s="47"/>
      <c r="G3" s="47"/>
      <c r="H3" s="52"/>
    </row>
    <row r="4" spans="1:8" ht="16.5">
      <c r="A4" s="457" t="s">
        <v>72</v>
      </c>
      <c r="B4" s="457"/>
      <c r="C4" s="457"/>
      <c r="D4" s="457"/>
      <c r="E4" s="457"/>
      <c r="F4" s="457"/>
      <c r="G4" s="457"/>
      <c r="H4" s="457"/>
    </row>
    <row r="5" spans="1:8">
      <c r="A5" s="53"/>
      <c r="B5" s="53"/>
      <c r="C5" s="53"/>
      <c r="D5" s="53"/>
      <c r="E5" s="53"/>
      <c r="F5" s="53"/>
      <c r="G5" s="53"/>
      <c r="H5" s="53"/>
    </row>
    <row r="6" spans="1:8">
      <c r="A6" s="53"/>
      <c r="B6" s="53"/>
      <c r="C6" s="53"/>
      <c r="D6" s="53"/>
      <c r="E6" s="53"/>
      <c r="F6" s="53"/>
      <c r="G6" s="53"/>
      <c r="H6" s="53"/>
    </row>
    <row r="7" spans="1:8">
      <c r="A7" s="53"/>
      <c r="B7" s="53"/>
      <c r="C7" s="53"/>
      <c r="D7" s="53"/>
      <c r="E7" s="53"/>
      <c r="F7" s="53"/>
      <c r="G7" s="53"/>
      <c r="H7" s="53"/>
    </row>
    <row r="8" spans="1:8">
      <c r="A8" s="462"/>
      <c r="B8" s="462"/>
      <c r="C8" s="54">
        <f>+Pressupostos!B11</f>
        <v>2024</v>
      </c>
      <c r="D8" s="54">
        <f>+C8+1</f>
        <v>2025</v>
      </c>
      <c r="E8" s="54">
        <f>+D8+1</f>
        <v>2026</v>
      </c>
      <c r="F8" s="54">
        <f>+E8+1</f>
        <v>2027</v>
      </c>
      <c r="G8" s="54">
        <f>+F8+1</f>
        <v>2028</v>
      </c>
      <c r="H8" s="54">
        <f>+G8+1</f>
        <v>2029</v>
      </c>
    </row>
    <row r="9" spans="1:8">
      <c r="A9" s="55" t="s">
        <v>73</v>
      </c>
      <c r="B9" s="56"/>
      <c r="C9" s="33"/>
      <c r="D9" s="28">
        <v>0.02</v>
      </c>
      <c r="E9" s="28">
        <v>0.02</v>
      </c>
      <c r="F9" s="28">
        <v>0.02</v>
      </c>
      <c r="G9" s="28">
        <v>0.02</v>
      </c>
      <c r="H9" s="28">
        <v>0.02</v>
      </c>
    </row>
    <row r="10" spans="1:8">
      <c r="A10" s="57"/>
      <c r="B10" s="57"/>
      <c r="C10" s="57"/>
      <c r="D10" s="57"/>
      <c r="E10" s="57"/>
      <c r="F10" s="57"/>
      <c r="G10" s="57"/>
      <c r="H10" s="57"/>
    </row>
    <row r="11" spans="1:8">
      <c r="A11" s="57"/>
      <c r="B11" s="57"/>
      <c r="C11" s="57"/>
      <c r="D11" s="57"/>
      <c r="E11" s="57"/>
      <c r="F11" s="57"/>
      <c r="G11" s="57"/>
      <c r="H11" s="57"/>
    </row>
    <row r="12" spans="1:8">
      <c r="A12" s="460" t="s">
        <v>74</v>
      </c>
      <c r="B12" s="461"/>
      <c r="C12" s="54">
        <f t="shared" ref="C12:H12" si="0">+C8</f>
        <v>2024</v>
      </c>
      <c r="D12" s="54">
        <f t="shared" si="0"/>
        <v>2025</v>
      </c>
      <c r="E12" s="54">
        <f t="shared" si="0"/>
        <v>2026</v>
      </c>
      <c r="F12" s="54">
        <f t="shared" si="0"/>
        <v>2027</v>
      </c>
      <c r="G12" s="54">
        <f t="shared" si="0"/>
        <v>2028</v>
      </c>
      <c r="H12" s="54">
        <f t="shared" si="0"/>
        <v>2029</v>
      </c>
    </row>
    <row r="13" spans="1:8">
      <c r="A13" s="452" t="s">
        <v>75</v>
      </c>
      <c r="B13" s="453"/>
      <c r="C13" s="251">
        <f t="shared" ref="C13:H13" si="1">+C16*C14</f>
        <v>25000</v>
      </c>
      <c r="D13" s="251">
        <f t="shared" si="1"/>
        <v>76500</v>
      </c>
      <c r="E13" s="251">
        <f t="shared" si="1"/>
        <v>97537.5</v>
      </c>
      <c r="F13" s="251">
        <f t="shared" si="1"/>
        <v>109437.075</v>
      </c>
      <c r="G13" s="251">
        <f t="shared" si="1"/>
        <v>122788.39815000001</v>
      </c>
      <c r="H13" s="251">
        <f t="shared" si="1"/>
        <v>137768.58272430001</v>
      </c>
    </row>
    <row r="14" spans="1:8">
      <c r="A14" s="58" t="s">
        <v>76</v>
      </c>
      <c r="B14" s="59"/>
      <c r="C14" s="252">
        <v>10</v>
      </c>
      <c r="D14" s="253">
        <f>+C14*(1+D15)</f>
        <v>30</v>
      </c>
      <c r="E14" s="253">
        <f>+D14*(1+E15)</f>
        <v>37.5</v>
      </c>
      <c r="F14" s="253">
        <f>+E14*(1+F15)</f>
        <v>41.25</v>
      </c>
      <c r="G14" s="253">
        <f>+F14*(1+G15)</f>
        <v>45.375000000000007</v>
      </c>
      <c r="H14" s="253">
        <f>+G14*(1+H15)</f>
        <v>49.912500000000009</v>
      </c>
    </row>
    <row r="15" spans="1:8">
      <c r="A15" s="58" t="s">
        <v>77</v>
      </c>
      <c r="B15" s="59"/>
      <c r="C15" s="254">
        <v>0</v>
      </c>
      <c r="D15" s="255">
        <v>2</v>
      </c>
      <c r="E15" s="255">
        <v>0.25</v>
      </c>
      <c r="F15" s="255">
        <v>0.1</v>
      </c>
      <c r="G15" s="255">
        <v>0.1</v>
      </c>
      <c r="H15" s="255">
        <v>0.1</v>
      </c>
    </row>
    <row r="16" spans="1:8">
      <c r="A16" s="58" t="s">
        <v>78</v>
      </c>
      <c r="B16" s="59"/>
      <c r="C16" s="256">
        <v>2500</v>
      </c>
      <c r="D16" s="257">
        <f>+C16*(1+D9)</f>
        <v>2550</v>
      </c>
      <c r="E16" s="257">
        <f>+D16*(1+E9)</f>
        <v>2601</v>
      </c>
      <c r="F16" s="257">
        <f>+E16*(1+F9)</f>
        <v>2653.02</v>
      </c>
      <c r="G16" s="257">
        <f>+F16*(1+G9)</f>
        <v>2706.0803999999998</v>
      </c>
      <c r="H16" s="257">
        <f>+G16*(1+H9)</f>
        <v>2760.2020079999998</v>
      </c>
    </row>
    <row r="17" spans="1:8">
      <c r="A17" s="452" t="s">
        <v>79</v>
      </c>
      <c r="B17" s="453"/>
      <c r="C17" s="251">
        <f t="shared" ref="C17:H17" si="2">+C20*C18</f>
        <v>0</v>
      </c>
      <c r="D17" s="251">
        <f t="shared" si="2"/>
        <v>0</v>
      </c>
      <c r="E17" s="251">
        <f t="shared" si="2"/>
        <v>0</v>
      </c>
      <c r="F17" s="251">
        <f t="shared" si="2"/>
        <v>33958.656000000003</v>
      </c>
      <c r="G17" s="251">
        <f t="shared" si="2"/>
        <v>69275.658240000004</v>
      </c>
      <c r="H17" s="251">
        <f t="shared" si="2"/>
        <v>141322.3428096</v>
      </c>
    </row>
    <row r="18" spans="1:8">
      <c r="A18" s="58" t="s">
        <v>76</v>
      </c>
      <c r="B18" s="59"/>
      <c r="C18" s="252">
        <v>0</v>
      </c>
      <c r="D18" s="253">
        <f>+C18*(1+D19)</f>
        <v>0</v>
      </c>
      <c r="E18" s="253">
        <f>+D18*(1+E19)</f>
        <v>0</v>
      </c>
      <c r="F18" s="253">
        <v>10</v>
      </c>
      <c r="G18" s="253">
        <f>+F18*(1+G19)</f>
        <v>20</v>
      </c>
      <c r="H18" s="253">
        <f>+G18*(1+H19)</f>
        <v>40</v>
      </c>
    </row>
    <row r="19" spans="1:8">
      <c r="A19" s="58" t="s">
        <v>77</v>
      </c>
      <c r="B19" s="59"/>
      <c r="C19" s="254">
        <v>0</v>
      </c>
      <c r="D19" s="255">
        <v>0</v>
      </c>
      <c r="E19" s="255">
        <v>0</v>
      </c>
      <c r="F19" s="255">
        <v>0</v>
      </c>
      <c r="G19" s="255">
        <v>1</v>
      </c>
      <c r="H19" s="255">
        <v>1</v>
      </c>
    </row>
    <row r="20" spans="1:8">
      <c r="A20" s="58" t="s">
        <v>78</v>
      </c>
      <c r="B20" s="59"/>
      <c r="C20" s="256">
        <v>3200</v>
      </c>
      <c r="D20" s="257">
        <f>+C20*(1+D9)</f>
        <v>3264</v>
      </c>
      <c r="E20" s="257">
        <f>+D20*(1+E9)</f>
        <v>3329.28</v>
      </c>
      <c r="F20" s="257">
        <f>+E20*(1+F9)</f>
        <v>3395.8656000000001</v>
      </c>
      <c r="G20" s="257">
        <f>+F20*(1+G9)</f>
        <v>3463.7829120000001</v>
      </c>
      <c r="H20" s="257">
        <f>+G20*(1+H9)</f>
        <v>3533.0585702400003</v>
      </c>
    </row>
    <row r="21" spans="1:8">
      <c r="A21" s="452" t="s">
        <v>80</v>
      </c>
      <c r="B21" s="453"/>
      <c r="C21" s="251">
        <f t="shared" ref="C21:H21" si="3">+C24*C22</f>
        <v>0</v>
      </c>
      <c r="D21" s="251">
        <f t="shared" si="3"/>
        <v>0</v>
      </c>
      <c r="E21" s="251">
        <f t="shared" si="3"/>
        <v>0</v>
      </c>
      <c r="F21" s="251">
        <f t="shared" si="3"/>
        <v>0</v>
      </c>
      <c r="G21" s="251">
        <f t="shared" si="3"/>
        <v>0</v>
      </c>
      <c r="H21" s="251">
        <f t="shared" si="3"/>
        <v>0</v>
      </c>
    </row>
    <row r="22" spans="1:8">
      <c r="A22" s="58" t="s">
        <v>76</v>
      </c>
      <c r="B22" s="59"/>
      <c r="C22" s="252">
        <v>0</v>
      </c>
      <c r="D22" s="253">
        <f>+C22*(1+D23)</f>
        <v>0</v>
      </c>
      <c r="E22" s="253">
        <f>+D22*(1+E23)</f>
        <v>0</v>
      </c>
      <c r="F22" s="253">
        <f>+E22*(1+F23)</f>
        <v>0</v>
      </c>
      <c r="G22" s="253">
        <f>+F22*(1+G23)</f>
        <v>0</v>
      </c>
      <c r="H22" s="253">
        <f>+G22*(1+H23)</f>
        <v>0</v>
      </c>
    </row>
    <row r="23" spans="1:8">
      <c r="A23" s="58" t="s">
        <v>77</v>
      </c>
      <c r="B23" s="59"/>
      <c r="C23" s="254">
        <v>0</v>
      </c>
      <c r="D23" s="255">
        <v>0</v>
      </c>
      <c r="E23" s="255">
        <v>0</v>
      </c>
      <c r="F23" s="255">
        <v>0</v>
      </c>
      <c r="G23" s="255">
        <v>0</v>
      </c>
      <c r="H23" s="255">
        <v>0</v>
      </c>
    </row>
    <row r="24" spans="1:8">
      <c r="A24" s="58" t="s">
        <v>78</v>
      </c>
      <c r="B24" s="59"/>
      <c r="C24" s="256">
        <v>0</v>
      </c>
      <c r="D24" s="257">
        <f>+C24*(1+D9)</f>
        <v>0</v>
      </c>
      <c r="E24" s="257">
        <f>+D24*(1+E9)</f>
        <v>0</v>
      </c>
      <c r="F24" s="257">
        <f>+E24*(1+F9)</f>
        <v>0</v>
      </c>
      <c r="G24" s="257">
        <f>+F24*(1+G9)</f>
        <v>0</v>
      </c>
      <c r="H24" s="257">
        <f>+G24*(1+H9)</f>
        <v>0</v>
      </c>
    </row>
    <row r="25" spans="1:8">
      <c r="A25" s="452" t="s">
        <v>81</v>
      </c>
      <c r="B25" s="453"/>
      <c r="C25" s="251">
        <f t="shared" ref="C25:H25" si="4">+C28*C26</f>
        <v>0</v>
      </c>
      <c r="D25" s="251">
        <f t="shared" si="4"/>
        <v>0</v>
      </c>
      <c r="E25" s="251">
        <f t="shared" si="4"/>
        <v>0</v>
      </c>
      <c r="F25" s="251">
        <f t="shared" si="4"/>
        <v>0</v>
      </c>
      <c r="G25" s="251">
        <f t="shared" si="4"/>
        <v>0</v>
      </c>
      <c r="H25" s="251">
        <f t="shared" si="4"/>
        <v>0</v>
      </c>
    </row>
    <row r="26" spans="1:8">
      <c r="A26" s="58" t="s">
        <v>76</v>
      </c>
      <c r="B26" s="59"/>
      <c r="C26" s="252">
        <v>0</v>
      </c>
      <c r="D26" s="253">
        <f>+C26*(1+D27)</f>
        <v>0</v>
      </c>
      <c r="E26" s="253">
        <f>+D26*(1+E27)</f>
        <v>0</v>
      </c>
      <c r="F26" s="253">
        <f>+E26*(1+F27)</f>
        <v>0</v>
      </c>
      <c r="G26" s="253">
        <f>+F26*(1+G27)</f>
        <v>0</v>
      </c>
      <c r="H26" s="253">
        <f>+G26*(1+H27)</f>
        <v>0</v>
      </c>
    </row>
    <row r="27" spans="1:8">
      <c r="A27" s="58" t="s">
        <v>77</v>
      </c>
      <c r="B27" s="59"/>
      <c r="C27" s="254">
        <v>0</v>
      </c>
      <c r="D27" s="255">
        <v>0</v>
      </c>
      <c r="E27" s="255">
        <v>0</v>
      </c>
      <c r="F27" s="255">
        <v>0</v>
      </c>
      <c r="G27" s="255">
        <v>0</v>
      </c>
      <c r="H27" s="255">
        <v>0</v>
      </c>
    </row>
    <row r="28" spans="1:8">
      <c r="A28" s="58" t="s">
        <v>78</v>
      </c>
      <c r="B28" s="59"/>
      <c r="C28" s="256">
        <v>0</v>
      </c>
      <c r="D28" s="257">
        <f>+C28*(1+D9)</f>
        <v>0</v>
      </c>
      <c r="E28" s="257">
        <f>+D28*(1+E9)</f>
        <v>0</v>
      </c>
      <c r="F28" s="257">
        <f>+E28*(1+F9)</f>
        <v>0</v>
      </c>
      <c r="G28" s="257">
        <f>+F28*(1+G9)</f>
        <v>0</v>
      </c>
      <c r="H28" s="257">
        <f>+G28*(1+H9)</f>
        <v>0</v>
      </c>
    </row>
    <row r="29" spans="1:8" ht="14.25" thickBot="1">
      <c r="A29" s="458" t="s">
        <v>82</v>
      </c>
      <c r="B29" s="459"/>
      <c r="C29" s="34">
        <f t="shared" ref="C29:H29" si="5">+C13+C17+C21+C25</f>
        <v>25000</v>
      </c>
      <c r="D29" s="34">
        <f t="shared" si="5"/>
        <v>76500</v>
      </c>
      <c r="E29" s="34">
        <f t="shared" si="5"/>
        <v>97537.5</v>
      </c>
      <c r="F29" s="34">
        <f t="shared" si="5"/>
        <v>143395.731</v>
      </c>
      <c r="G29" s="34">
        <f t="shared" si="5"/>
        <v>192064.05639000001</v>
      </c>
      <c r="H29" s="34">
        <f t="shared" si="5"/>
        <v>279090.92553390004</v>
      </c>
    </row>
    <row r="30" spans="1:8" ht="14.25" thickTop="1">
      <c r="A30" s="60"/>
      <c r="B30" s="60"/>
      <c r="C30" s="61"/>
      <c r="D30" s="61"/>
      <c r="E30" s="61"/>
      <c r="F30" s="61"/>
      <c r="G30" s="61"/>
      <c r="H30" s="61"/>
    </row>
    <row r="31" spans="1:8">
      <c r="A31" s="60"/>
      <c r="B31" s="60"/>
      <c r="C31" s="61"/>
      <c r="D31" s="61"/>
      <c r="E31" s="61"/>
      <c r="F31" s="61"/>
      <c r="G31" s="61"/>
      <c r="H31" s="61"/>
    </row>
    <row r="32" spans="1:8">
      <c r="A32" s="454" t="s">
        <v>83</v>
      </c>
      <c r="B32" s="454"/>
      <c r="C32" s="54">
        <f t="shared" ref="C32:H32" si="6">+C8</f>
        <v>2024</v>
      </c>
      <c r="D32" s="54">
        <f t="shared" si="6"/>
        <v>2025</v>
      </c>
      <c r="E32" s="54">
        <f t="shared" si="6"/>
        <v>2026</v>
      </c>
      <c r="F32" s="54">
        <f t="shared" si="6"/>
        <v>2027</v>
      </c>
      <c r="G32" s="54">
        <f t="shared" si="6"/>
        <v>2028</v>
      </c>
      <c r="H32" s="54">
        <f t="shared" si="6"/>
        <v>2029</v>
      </c>
    </row>
    <row r="33" spans="1:10">
      <c r="A33" s="452" t="s">
        <v>75</v>
      </c>
      <c r="B33" s="453"/>
      <c r="C33" s="251">
        <f t="shared" ref="C33:H33" si="7">+C36*C34</f>
        <v>0</v>
      </c>
      <c r="D33" s="251">
        <f t="shared" si="7"/>
        <v>0</v>
      </c>
      <c r="E33" s="251">
        <f t="shared" si="7"/>
        <v>54100.800000000003</v>
      </c>
      <c r="F33" s="251">
        <f t="shared" si="7"/>
        <v>165548.448</v>
      </c>
      <c r="G33" s="251">
        <f t="shared" si="7"/>
        <v>337718.83392</v>
      </c>
      <c r="H33" s="251">
        <f t="shared" si="7"/>
        <v>516709.81589760003</v>
      </c>
    </row>
    <row r="34" spans="1:10">
      <c r="A34" s="58" t="s">
        <v>76</v>
      </c>
      <c r="B34" s="59"/>
      <c r="C34" s="252">
        <v>0</v>
      </c>
      <c r="D34" s="253">
        <f>+C34*(1+D35)</f>
        <v>0</v>
      </c>
      <c r="E34" s="253">
        <v>20</v>
      </c>
      <c r="F34" s="253">
        <f>+E34*(1+F35)</f>
        <v>60</v>
      </c>
      <c r="G34" s="253">
        <f>+F34*(1+G35)</f>
        <v>120</v>
      </c>
      <c r="H34" s="253">
        <f>+G34*(1+H35)</f>
        <v>180</v>
      </c>
    </row>
    <row r="35" spans="1:10">
      <c r="A35" s="58" t="s">
        <v>77</v>
      </c>
      <c r="B35" s="59"/>
      <c r="C35" s="254">
        <v>0</v>
      </c>
      <c r="D35" s="255">
        <v>0</v>
      </c>
      <c r="E35" s="255">
        <v>0</v>
      </c>
      <c r="F35" s="255">
        <v>2</v>
      </c>
      <c r="G35" s="255">
        <v>1</v>
      </c>
      <c r="H35" s="255">
        <v>0.5</v>
      </c>
    </row>
    <row r="36" spans="1:10">
      <c r="A36" s="58" t="s">
        <v>78</v>
      </c>
      <c r="B36" s="59"/>
      <c r="C36" s="256">
        <v>2600</v>
      </c>
      <c r="D36" s="257">
        <f>+C36*(1+D9)</f>
        <v>2652</v>
      </c>
      <c r="E36" s="257">
        <f>+D36*(1+E9)</f>
        <v>2705.04</v>
      </c>
      <c r="F36" s="257">
        <f>+E36*(1+F9)</f>
        <v>2759.1408000000001</v>
      </c>
      <c r="G36" s="257">
        <f>+F36*(1+G9)</f>
        <v>2814.3236160000001</v>
      </c>
      <c r="H36" s="257">
        <f>+G36*(1+H9)</f>
        <v>2870.6100883200002</v>
      </c>
    </row>
    <row r="37" spans="1:10">
      <c r="A37" s="452" t="s">
        <v>79</v>
      </c>
      <c r="B37" s="453"/>
      <c r="C37" s="251">
        <f t="shared" ref="C37:H37" si="8">+C40*C38</f>
        <v>0</v>
      </c>
      <c r="D37" s="251">
        <f t="shared" si="8"/>
        <v>0</v>
      </c>
      <c r="E37" s="251">
        <f t="shared" si="8"/>
        <v>0</v>
      </c>
      <c r="F37" s="251">
        <f t="shared" si="8"/>
        <v>0</v>
      </c>
      <c r="G37" s="251">
        <f t="shared" si="8"/>
        <v>107160.78384000002</v>
      </c>
      <c r="H37" s="251">
        <f t="shared" si="8"/>
        <v>327911.99855040002</v>
      </c>
    </row>
    <row r="38" spans="1:10">
      <c r="A38" s="58" t="s">
        <v>76</v>
      </c>
      <c r="B38" s="59"/>
      <c r="C38" s="252">
        <v>0</v>
      </c>
      <c r="D38" s="253">
        <f>+C38*(1+D39)</f>
        <v>0</v>
      </c>
      <c r="E38" s="253">
        <f>+D38*(1+E39)</f>
        <v>0</v>
      </c>
      <c r="F38" s="253">
        <f>+E38*(1+F39)</f>
        <v>0</v>
      </c>
      <c r="G38" s="253">
        <v>30</v>
      </c>
      <c r="H38" s="253">
        <f>+G38*(1+H39)</f>
        <v>90</v>
      </c>
    </row>
    <row r="39" spans="1:10">
      <c r="A39" s="58" t="s">
        <v>77</v>
      </c>
      <c r="B39" s="59"/>
      <c r="C39" s="254">
        <v>0</v>
      </c>
      <c r="D39" s="255">
        <v>0</v>
      </c>
      <c r="E39" s="255">
        <v>0</v>
      </c>
      <c r="F39" s="255">
        <v>0</v>
      </c>
      <c r="G39" s="255">
        <v>0</v>
      </c>
      <c r="H39" s="255">
        <v>2</v>
      </c>
    </row>
    <row r="40" spans="1:10">
      <c r="A40" s="58" t="s">
        <v>78</v>
      </c>
      <c r="B40" s="59"/>
      <c r="C40" s="256">
        <v>3300</v>
      </c>
      <c r="D40" s="257">
        <f>+C40*(1+D9)</f>
        <v>3366</v>
      </c>
      <c r="E40" s="257">
        <f>+D40*(1+E9)</f>
        <v>3433.32</v>
      </c>
      <c r="F40" s="257">
        <f>+E40*(1+F9)</f>
        <v>3501.9864000000002</v>
      </c>
      <c r="G40" s="257">
        <f>+F40*(1+G9)</f>
        <v>3572.0261280000004</v>
      </c>
      <c r="H40" s="257">
        <f>+G40*(1+H9)</f>
        <v>3643.4666505600003</v>
      </c>
    </row>
    <row r="41" spans="1:10" ht="14.25" thickBot="1">
      <c r="A41" s="455" t="s">
        <v>82</v>
      </c>
      <c r="B41" s="455"/>
      <c r="C41" s="34">
        <f t="shared" ref="C41:H41" si="9">+C33+C37</f>
        <v>0</v>
      </c>
      <c r="D41" s="34">
        <f t="shared" si="9"/>
        <v>0</v>
      </c>
      <c r="E41" s="34">
        <f t="shared" si="9"/>
        <v>54100.800000000003</v>
      </c>
      <c r="F41" s="34">
        <f t="shared" si="9"/>
        <v>165548.448</v>
      </c>
      <c r="G41" s="34">
        <f t="shared" si="9"/>
        <v>444879.61776000005</v>
      </c>
      <c r="H41" s="34">
        <f t="shared" si="9"/>
        <v>844621.81444800005</v>
      </c>
    </row>
    <row r="42" spans="1:10" ht="14.25" thickTop="1">
      <c r="A42" s="63" t="s">
        <v>84</v>
      </c>
      <c r="B42" s="60"/>
      <c r="C42" s="61"/>
      <c r="D42" s="61"/>
      <c r="E42" s="61"/>
      <c r="F42" s="61"/>
      <c r="G42" s="61"/>
      <c r="H42" s="61"/>
    </row>
    <row r="43" spans="1:10">
      <c r="A43" s="64" t="s">
        <v>85</v>
      </c>
      <c r="B43" s="65"/>
      <c r="C43" s="66"/>
      <c r="D43" s="66"/>
      <c r="E43" s="66"/>
      <c r="F43" s="66"/>
      <c r="G43" s="66"/>
      <c r="H43" s="66"/>
      <c r="I43" s="67"/>
      <c r="J43" s="67"/>
    </row>
    <row r="44" spans="1:10">
      <c r="A44" s="57"/>
      <c r="B44" s="65"/>
      <c r="C44" s="66"/>
      <c r="D44" s="66"/>
      <c r="E44" s="66"/>
      <c r="F44" s="66"/>
      <c r="G44" s="66"/>
      <c r="H44" s="66"/>
      <c r="I44" s="67"/>
      <c r="J44" s="67"/>
    </row>
    <row r="45" spans="1:10">
      <c r="A45" s="454" t="s">
        <v>86</v>
      </c>
      <c r="B45" s="454"/>
      <c r="C45" s="54">
        <f t="shared" ref="C45:H45" si="10">+C8</f>
        <v>2024</v>
      </c>
      <c r="D45" s="54">
        <f t="shared" si="10"/>
        <v>2025</v>
      </c>
      <c r="E45" s="54">
        <f t="shared" si="10"/>
        <v>2026</v>
      </c>
      <c r="F45" s="54">
        <f t="shared" si="10"/>
        <v>2027</v>
      </c>
      <c r="G45" s="54">
        <f t="shared" si="10"/>
        <v>2028</v>
      </c>
      <c r="H45" s="54">
        <f t="shared" si="10"/>
        <v>2029</v>
      </c>
      <c r="I45" s="67"/>
      <c r="J45" s="67"/>
    </row>
    <row r="46" spans="1:10">
      <c r="A46" s="452" t="s">
        <v>87</v>
      </c>
      <c r="B46" s="453"/>
      <c r="C46" s="252">
        <v>200</v>
      </c>
      <c r="D46" s="253">
        <f>+C46*(1+D47)</f>
        <v>800</v>
      </c>
      <c r="E46" s="253">
        <f>+D46*(1+E47)</f>
        <v>2400</v>
      </c>
      <c r="F46" s="253">
        <f>+E46*(1+F47)</f>
        <v>4800</v>
      </c>
      <c r="G46" s="253">
        <f>+F46*(1+G47)</f>
        <v>9600</v>
      </c>
      <c r="H46" s="253">
        <f>+G46*(1+H47)</f>
        <v>19200</v>
      </c>
      <c r="I46" s="67"/>
      <c r="J46" s="67"/>
    </row>
    <row r="47" spans="1:10">
      <c r="A47" s="58" t="s">
        <v>88</v>
      </c>
      <c r="B47" s="59"/>
      <c r="C47" s="254"/>
      <c r="D47" s="255">
        <v>3</v>
      </c>
      <c r="E47" s="255">
        <v>2</v>
      </c>
      <c r="F47" s="255">
        <v>1</v>
      </c>
      <c r="G47" s="255">
        <v>1</v>
      </c>
      <c r="H47" s="255">
        <v>1</v>
      </c>
      <c r="I47" s="67"/>
      <c r="J47" s="67"/>
    </row>
    <row r="48" spans="1:10">
      <c r="A48" s="452" t="s">
        <v>89</v>
      </c>
      <c r="B48" s="453"/>
      <c r="C48" s="252"/>
      <c r="D48" s="253">
        <f>+C48*(1+D49)</f>
        <v>0</v>
      </c>
      <c r="E48" s="253">
        <f>+D48*(1+E49)</f>
        <v>0</v>
      </c>
      <c r="F48" s="253">
        <f>+E48*(1+F49)</f>
        <v>0</v>
      </c>
      <c r="G48" s="253">
        <v>0</v>
      </c>
      <c r="H48" s="253">
        <f>+G48*(1+H49)</f>
        <v>0</v>
      </c>
      <c r="I48" s="67"/>
      <c r="J48" s="67"/>
    </row>
    <row r="49" spans="1:10">
      <c r="A49" s="58" t="s">
        <v>88</v>
      </c>
      <c r="B49" s="59"/>
      <c r="C49" s="254"/>
      <c r="D49" s="255"/>
      <c r="E49" s="255"/>
      <c r="F49" s="255"/>
      <c r="G49" s="255"/>
      <c r="H49" s="255"/>
      <c r="I49" s="67"/>
      <c r="J49" s="67"/>
    </row>
    <row r="50" spans="1:10">
      <c r="A50" s="452" t="s">
        <v>90</v>
      </c>
      <c r="B50" s="453"/>
      <c r="C50" s="252"/>
      <c r="D50" s="253">
        <f>+C50*(1+D51)</f>
        <v>0</v>
      </c>
      <c r="E50" s="253">
        <f>+D50*(1+E51)</f>
        <v>0</v>
      </c>
      <c r="F50" s="253">
        <f>+E50*(1+F51)</f>
        <v>0</v>
      </c>
      <c r="G50" s="253">
        <f>+F50*(1+G51)</f>
        <v>0</v>
      </c>
      <c r="H50" s="253">
        <f>+G50*(1+H51)</f>
        <v>0</v>
      </c>
      <c r="I50" s="67"/>
      <c r="J50" s="67"/>
    </row>
    <row r="51" spans="1:10">
      <c r="A51" s="58" t="s">
        <v>88</v>
      </c>
      <c r="B51" s="59"/>
      <c r="C51" s="254"/>
      <c r="D51" s="255"/>
      <c r="E51" s="255"/>
      <c r="F51" s="255"/>
      <c r="G51" s="255"/>
      <c r="H51" s="255"/>
      <c r="I51" s="67"/>
      <c r="J51" s="67"/>
    </row>
    <row r="52" spans="1:10">
      <c r="A52" s="452" t="s">
        <v>91</v>
      </c>
      <c r="B52" s="453"/>
      <c r="C52" s="252"/>
      <c r="D52" s="253">
        <f>+C52*(1+D53)</f>
        <v>0</v>
      </c>
      <c r="E52" s="253">
        <f>+D52*(1+E53)</f>
        <v>0</v>
      </c>
      <c r="F52" s="253">
        <f>+E52*(1+F53)</f>
        <v>0</v>
      </c>
      <c r="G52" s="253">
        <f>+F52*(1+G53)</f>
        <v>0</v>
      </c>
      <c r="H52" s="253">
        <f>+G52*(1+H53)</f>
        <v>0</v>
      </c>
      <c r="I52" s="67"/>
      <c r="J52" s="67"/>
    </row>
    <row r="53" spans="1:10">
      <c r="A53" s="58" t="s">
        <v>88</v>
      </c>
      <c r="B53" s="59"/>
      <c r="C53" s="254"/>
      <c r="D53" s="255"/>
      <c r="E53" s="255"/>
      <c r="F53" s="255"/>
      <c r="G53" s="255"/>
      <c r="H53" s="255"/>
      <c r="I53" s="67"/>
      <c r="J53" s="67"/>
    </row>
    <row r="54" spans="1:10" ht="14.25" thickBot="1">
      <c r="A54" s="455" t="s">
        <v>82</v>
      </c>
      <c r="B54" s="455"/>
      <c r="C54" s="34">
        <f t="shared" ref="C54:H54" si="11">+C46+C48+C50+C52</f>
        <v>200</v>
      </c>
      <c r="D54" s="34">
        <f t="shared" si="11"/>
        <v>800</v>
      </c>
      <c r="E54" s="34">
        <f t="shared" si="11"/>
        <v>2400</v>
      </c>
      <c r="F54" s="34">
        <f t="shared" si="11"/>
        <v>4800</v>
      </c>
      <c r="G54" s="34">
        <f t="shared" si="11"/>
        <v>9600</v>
      </c>
      <c r="H54" s="34">
        <f t="shared" si="11"/>
        <v>19200</v>
      </c>
    </row>
    <row r="55" spans="1:10" ht="14.25" thickTop="1">
      <c r="A55" s="69"/>
      <c r="B55" s="70"/>
      <c r="C55" s="66"/>
      <c r="D55" s="66"/>
      <c r="E55" s="66"/>
      <c r="F55" s="66"/>
      <c r="G55" s="66"/>
      <c r="H55" s="66"/>
      <c r="I55" s="67"/>
      <c r="J55" s="67"/>
    </row>
    <row r="56" spans="1:10">
      <c r="A56" s="69"/>
      <c r="B56" s="70"/>
      <c r="C56" s="66"/>
      <c r="D56" s="66"/>
      <c r="E56" s="66"/>
      <c r="F56" s="66"/>
      <c r="G56" s="66"/>
      <c r="H56" s="66"/>
      <c r="I56" s="67"/>
      <c r="J56" s="67"/>
    </row>
    <row r="57" spans="1:10">
      <c r="A57" s="454" t="s">
        <v>92</v>
      </c>
      <c r="B57" s="454"/>
      <c r="C57" s="71">
        <f t="shared" ref="C57:H57" si="12">+C8</f>
        <v>2024</v>
      </c>
      <c r="D57" s="71">
        <f t="shared" si="12"/>
        <v>2025</v>
      </c>
      <c r="E57" s="71">
        <f t="shared" si="12"/>
        <v>2026</v>
      </c>
      <c r="F57" s="71">
        <f t="shared" si="12"/>
        <v>2027</v>
      </c>
      <c r="G57" s="71">
        <f t="shared" si="12"/>
        <v>2028</v>
      </c>
      <c r="H57" s="71">
        <f t="shared" si="12"/>
        <v>2029</v>
      </c>
      <c r="I57" s="67"/>
      <c r="J57" s="67"/>
    </row>
    <row r="58" spans="1:10">
      <c r="A58" s="452" t="s">
        <v>87</v>
      </c>
      <c r="B58" s="453"/>
      <c r="C58" s="252">
        <v>0</v>
      </c>
      <c r="D58" s="253">
        <f>+C58*(1+D59)</f>
        <v>0</v>
      </c>
      <c r="E58" s="253">
        <f>+D58*(1+E59)</f>
        <v>0</v>
      </c>
      <c r="F58" s="253">
        <f>+E58*(1+F59)</f>
        <v>0</v>
      </c>
      <c r="G58" s="253">
        <f>+F58*(1+G59)</f>
        <v>0</v>
      </c>
      <c r="H58" s="253">
        <f>+G58*(1+H59)</f>
        <v>0</v>
      </c>
      <c r="I58" s="67"/>
      <c r="J58" s="67"/>
    </row>
    <row r="59" spans="1:10">
      <c r="A59" s="58" t="s">
        <v>88</v>
      </c>
      <c r="B59" s="59"/>
      <c r="C59" s="254"/>
      <c r="D59" s="255">
        <v>0</v>
      </c>
      <c r="E59" s="255">
        <v>0</v>
      </c>
      <c r="F59" s="255">
        <v>0</v>
      </c>
      <c r="G59" s="255">
        <v>0</v>
      </c>
      <c r="H59" s="255">
        <v>0</v>
      </c>
      <c r="I59" s="67"/>
      <c r="J59" s="67"/>
    </row>
    <row r="60" spans="1:10">
      <c r="A60" s="452" t="s">
        <v>89</v>
      </c>
      <c r="B60" s="453"/>
      <c r="C60" s="252"/>
      <c r="D60" s="253">
        <f>+C60*(1+D61)</f>
        <v>0</v>
      </c>
      <c r="E60" s="253">
        <f>+D60*(1+E61)</f>
        <v>0</v>
      </c>
      <c r="F60" s="253">
        <f>+E60*(1+F61)</f>
        <v>0</v>
      </c>
      <c r="G60" s="253">
        <f>+F60*(1+G61)</f>
        <v>0</v>
      </c>
      <c r="H60" s="253"/>
      <c r="I60" s="67"/>
      <c r="J60" s="67"/>
    </row>
    <row r="61" spans="1:10">
      <c r="A61" s="58" t="s">
        <v>88</v>
      </c>
      <c r="B61" s="59"/>
      <c r="C61" s="254"/>
      <c r="D61" s="255"/>
      <c r="E61" s="255"/>
      <c r="F61" s="255"/>
      <c r="G61" s="255"/>
      <c r="H61" s="255"/>
      <c r="I61" s="67"/>
      <c r="J61" s="67"/>
    </row>
    <row r="62" spans="1:10">
      <c r="A62" s="452" t="s">
        <v>90</v>
      </c>
      <c r="B62" s="453"/>
      <c r="C62" s="252"/>
      <c r="D62" s="253">
        <f>+C62*(1+D63)</f>
        <v>0</v>
      </c>
      <c r="E62" s="253">
        <f>+D62*(1+E63)</f>
        <v>0</v>
      </c>
      <c r="F62" s="253">
        <f>+E62*(1+F63)</f>
        <v>0</v>
      </c>
      <c r="G62" s="253">
        <f>+F62*(1+G63)</f>
        <v>0</v>
      </c>
      <c r="H62" s="253">
        <f>+G62*(1+H63)</f>
        <v>0</v>
      </c>
      <c r="I62" s="67"/>
      <c r="J62" s="67"/>
    </row>
    <row r="63" spans="1:10">
      <c r="A63" s="58" t="s">
        <v>88</v>
      </c>
      <c r="B63" s="59"/>
      <c r="C63" s="254"/>
      <c r="D63" s="255"/>
      <c r="E63" s="255"/>
      <c r="F63" s="255"/>
      <c r="G63" s="255"/>
      <c r="H63" s="255"/>
      <c r="I63" s="67"/>
      <c r="J63" s="67"/>
    </row>
    <row r="64" spans="1:10">
      <c r="A64" s="452" t="s">
        <v>91</v>
      </c>
      <c r="B64" s="453"/>
      <c r="C64" s="252"/>
      <c r="D64" s="253">
        <f>+C64*(1+D65)</f>
        <v>0</v>
      </c>
      <c r="E64" s="253">
        <f>+D64*(1+E65)</f>
        <v>0</v>
      </c>
      <c r="F64" s="253">
        <f>+E64*(1+F65)</f>
        <v>0</v>
      </c>
      <c r="G64" s="253">
        <f>+F64*(1+G65)</f>
        <v>0</v>
      </c>
      <c r="H64" s="253">
        <f>+G64*(1+H65)</f>
        <v>0</v>
      </c>
      <c r="I64" s="67"/>
      <c r="J64" s="67"/>
    </row>
    <row r="65" spans="1:10">
      <c r="A65" s="58" t="s">
        <v>88</v>
      </c>
      <c r="B65" s="59"/>
      <c r="C65" s="254"/>
      <c r="D65" s="255"/>
      <c r="E65" s="255"/>
      <c r="F65" s="255"/>
      <c r="G65" s="255"/>
      <c r="H65" s="255"/>
      <c r="I65" s="67"/>
      <c r="J65" s="67"/>
    </row>
    <row r="66" spans="1:10" ht="14.25" thickBot="1">
      <c r="A66" s="455" t="s">
        <v>82</v>
      </c>
      <c r="B66" s="455"/>
      <c r="C66" s="34">
        <f t="shared" ref="C66:H66" si="13">+C58+C60+C62+C64</f>
        <v>0</v>
      </c>
      <c r="D66" s="34">
        <f t="shared" si="13"/>
        <v>0</v>
      </c>
      <c r="E66" s="34">
        <f t="shared" si="13"/>
        <v>0</v>
      </c>
      <c r="F66" s="34">
        <f t="shared" si="13"/>
        <v>0</v>
      </c>
      <c r="G66" s="34">
        <f t="shared" si="13"/>
        <v>0</v>
      </c>
      <c r="H66" s="34">
        <f t="shared" si="13"/>
        <v>0</v>
      </c>
    </row>
    <row r="67" spans="1:10" ht="14.25" thickTop="1">
      <c r="A67" s="69"/>
      <c r="B67" s="70"/>
      <c r="C67" s="66"/>
      <c r="D67" s="66"/>
      <c r="E67" s="66"/>
      <c r="F67" s="66"/>
      <c r="G67" s="66"/>
      <c r="H67" s="66"/>
      <c r="I67" s="67"/>
      <c r="J67" s="67"/>
    </row>
    <row r="68" spans="1:10">
      <c r="A68" s="69"/>
      <c r="B68" s="70"/>
      <c r="C68" s="66"/>
      <c r="D68" s="66"/>
      <c r="E68" s="66"/>
      <c r="F68" s="66"/>
      <c r="G68" s="66"/>
      <c r="H68" s="66"/>
      <c r="I68" s="67"/>
      <c r="J68" s="67"/>
    </row>
    <row r="69" spans="1:10">
      <c r="A69" s="451" t="s">
        <v>93</v>
      </c>
      <c r="B69" s="451"/>
      <c r="C69" s="72">
        <f t="shared" ref="C69:H69" si="14">+C29</f>
        <v>25000</v>
      </c>
      <c r="D69" s="72">
        <f t="shared" si="14"/>
        <v>76500</v>
      </c>
      <c r="E69" s="72">
        <f t="shared" si="14"/>
        <v>97537.5</v>
      </c>
      <c r="F69" s="72">
        <f t="shared" si="14"/>
        <v>143395.731</v>
      </c>
      <c r="G69" s="72">
        <f t="shared" si="14"/>
        <v>192064.05639000001</v>
      </c>
      <c r="H69" s="72">
        <f t="shared" si="14"/>
        <v>279090.92553390004</v>
      </c>
      <c r="I69" s="67"/>
      <c r="J69" s="67"/>
    </row>
    <row r="70" spans="1:10">
      <c r="A70" s="451" t="s">
        <v>94</v>
      </c>
      <c r="B70" s="451"/>
      <c r="C70" s="72">
        <f t="shared" ref="C70:H70" si="15">+C41</f>
        <v>0</v>
      </c>
      <c r="D70" s="72">
        <f t="shared" si="15"/>
        <v>0</v>
      </c>
      <c r="E70" s="72">
        <f t="shared" si="15"/>
        <v>54100.800000000003</v>
      </c>
      <c r="F70" s="72">
        <f t="shared" si="15"/>
        <v>165548.448</v>
      </c>
      <c r="G70" s="72">
        <f t="shared" si="15"/>
        <v>444879.61776000005</v>
      </c>
      <c r="H70" s="72">
        <f t="shared" si="15"/>
        <v>844621.81444800005</v>
      </c>
      <c r="I70" s="67"/>
      <c r="J70" s="67"/>
    </row>
    <row r="71" spans="1:10">
      <c r="A71" s="451" t="s">
        <v>95</v>
      </c>
      <c r="B71" s="451"/>
      <c r="C71" s="77">
        <f t="shared" ref="C71:H71" si="16">+C69+C70</f>
        <v>25000</v>
      </c>
      <c r="D71" s="77">
        <f t="shared" si="16"/>
        <v>76500</v>
      </c>
      <c r="E71" s="77">
        <f t="shared" si="16"/>
        <v>151638.29999999999</v>
      </c>
      <c r="F71" s="77">
        <f t="shared" si="16"/>
        <v>308944.179</v>
      </c>
      <c r="G71" s="77">
        <f t="shared" si="16"/>
        <v>636943.67415000009</v>
      </c>
      <c r="H71" s="77">
        <f t="shared" si="16"/>
        <v>1123712.7399819</v>
      </c>
      <c r="I71" s="67"/>
      <c r="J71" s="67"/>
    </row>
    <row r="72" spans="1:10" ht="14.25" thickBot="1">
      <c r="A72" s="73" t="s">
        <v>96</v>
      </c>
      <c r="B72" s="410">
        <f>+Pressupostos!B17</f>
        <v>0.23</v>
      </c>
      <c r="C72" s="34">
        <f t="shared" ref="C72:H72" si="17">+C69*$B$72</f>
        <v>5750</v>
      </c>
      <c r="D72" s="34">
        <f t="shared" si="17"/>
        <v>17595</v>
      </c>
      <c r="E72" s="34">
        <f t="shared" si="17"/>
        <v>22433.625</v>
      </c>
      <c r="F72" s="34">
        <f t="shared" si="17"/>
        <v>32981.018130000004</v>
      </c>
      <c r="G72" s="34">
        <f t="shared" si="17"/>
        <v>44174.732969700002</v>
      </c>
      <c r="H72" s="34">
        <f t="shared" si="17"/>
        <v>64190.912872797009</v>
      </c>
      <c r="I72" s="67"/>
      <c r="J72" s="67"/>
    </row>
    <row r="73" spans="1:10" ht="14.25" thickTop="1">
      <c r="A73" s="60"/>
      <c r="B73" s="74"/>
      <c r="C73" s="61"/>
      <c r="D73" s="61"/>
      <c r="E73" s="61"/>
      <c r="F73" s="61"/>
      <c r="G73" s="61"/>
      <c r="H73" s="61"/>
      <c r="I73" s="67"/>
      <c r="J73" s="67"/>
    </row>
    <row r="74" spans="1:10">
      <c r="A74" s="60"/>
      <c r="B74" s="74"/>
      <c r="C74" s="61"/>
      <c r="D74" s="61"/>
      <c r="E74" s="61"/>
      <c r="F74" s="61"/>
      <c r="G74" s="61"/>
      <c r="H74" s="61"/>
      <c r="I74" s="67"/>
      <c r="J74" s="67"/>
    </row>
    <row r="75" spans="1:10">
      <c r="A75" s="451" t="s">
        <v>97</v>
      </c>
      <c r="B75" s="451"/>
      <c r="C75" s="72">
        <f t="shared" ref="C75:H75" si="18">+C54</f>
        <v>200</v>
      </c>
      <c r="D75" s="72">
        <f t="shared" si="18"/>
        <v>800</v>
      </c>
      <c r="E75" s="72">
        <f t="shared" si="18"/>
        <v>2400</v>
      </c>
      <c r="F75" s="72">
        <f t="shared" si="18"/>
        <v>4800</v>
      </c>
      <c r="G75" s="72">
        <f t="shared" si="18"/>
        <v>9600</v>
      </c>
      <c r="H75" s="72">
        <f t="shared" si="18"/>
        <v>19200</v>
      </c>
      <c r="I75" s="67"/>
      <c r="J75" s="67"/>
    </row>
    <row r="76" spans="1:10">
      <c r="A76" s="451" t="s">
        <v>98</v>
      </c>
      <c r="B76" s="451"/>
      <c r="C76" s="72">
        <f t="shared" ref="C76:H76" si="19">+C66</f>
        <v>0</v>
      </c>
      <c r="D76" s="72">
        <f t="shared" si="19"/>
        <v>0</v>
      </c>
      <c r="E76" s="72">
        <f t="shared" si="19"/>
        <v>0</v>
      </c>
      <c r="F76" s="72">
        <f t="shared" si="19"/>
        <v>0</v>
      </c>
      <c r="G76" s="72">
        <f t="shared" si="19"/>
        <v>0</v>
      </c>
      <c r="H76" s="72">
        <f t="shared" si="19"/>
        <v>0</v>
      </c>
      <c r="I76" s="67"/>
      <c r="J76" s="67"/>
    </row>
    <row r="77" spans="1:10">
      <c r="A77" s="451" t="s">
        <v>99</v>
      </c>
      <c r="B77" s="451"/>
      <c r="C77" s="77">
        <f t="shared" ref="C77:H77" si="20">+C75+C76</f>
        <v>200</v>
      </c>
      <c r="D77" s="77">
        <f t="shared" si="20"/>
        <v>800</v>
      </c>
      <c r="E77" s="77">
        <f t="shared" si="20"/>
        <v>2400</v>
      </c>
      <c r="F77" s="77">
        <f t="shared" si="20"/>
        <v>4800</v>
      </c>
      <c r="G77" s="77">
        <f t="shared" si="20"/>
        <v>9600</v>
      </c>
      <c r="H77" s="77">
        <f t="shared" si="20"/>
        <v>19200</v>
      </c>
      <c r="I77" s="67"/>
      <c r="J77" s="67"/>
    </row>
    <row r="78" spans="1:10" ht="14.25" thickBot="1">
      <c r="A78" s="73" t="s">
        <v>100</v>
      </c>
      <c r="B78" s="410">
        <f>+Pressupostos!B18</f>
        <v>0.23</v>
      </c>
      <c r="C78" s="34">
        <f t="shared" ref="C78:H78" si="21">+C75*$B$78</f>
        <v>46</v>
      </c>
      <c r="D78" s="34">
        <f t="shared" si="21"/>
        <v>184</v>
      </c>
      <c r="E78" s="34">
        <f t="shared" si="21"/>
        <v>552</v>
      </c>
      <c r="F78" s="34">
        <f t="shared" si="21"/>
        <v>1104</v>
      </c>
      <c r="G78" s="34">
        <f t="shared" si="21"/>
        <v>2208</v>
      </c>
      <c r="H78" s="34">
        <f t="shared" si="21"/>
        <v>4416</v>
      </c>
      <c r="I78" s="67"/>
      <c r="J78" s="67"/>
    </row>
    <row r="79" spans="1:10" ht="14.25" thickTop="1">
      <c r="A79" s="69"/>
      <c r="B79" s="70"/>
      <c r="C79" s="66"/>
      <c r="D79" s="66"/>
      <c r="E79" s="66"/>
      <c r="F79" s="66"/>
      <c r="G79" s="66"/>
      <c r="H79" s="66"/>
      <c r="I79" s="67"/>
      <c r="J79" s="67"/>
    </row>
    <row r="80" spans="1:10" ht="14.25" thickBot="1">
      <c r="A80" s="456" t="s">
        <v>101</v>
      </c>
      <c r="B80" s="456"/>
      <c r="C80" s="34">
        <f t="shared" ref="C80:H80" si="22">+C71+C77</f>
        <v>25200</v>
      </c>
      <c r="D80" s="34">
        <f t="shared" si="22"/>
        <v>77300</v>
      </c>
      <c r="E80" s="34">
        <f t="shared" si="22"/>
        <v>154038.29999999999</v>
      </c>
      <c r="F80" s="34">
        <f t="shared" si="22"/>
        <v>313744.179</v>
      </c>
      <c r="G80" s="34">
        <f t="shared" si="22"/>
        <v>646543.67415000009</v>
      </c>
      <c r="H80" s="34">
        <f t="shared" si="22"/>
        <v>1142912.7399819</v>
      </c>
      <c r="I80" s="67"/>
      <c r="J80" s="67"/>
    </row>
    <row r="81" spans="1:10" ht="14.25" thickTop="1">
      <c r="A81" s="69"/>
      <c r="B81" s="65"/>
      <c r="C81" s="66"/>
      <c r="D81" s="66"/>
      <c r="E81" s="66"/>
      <c r="F81" s="66"/>
      <c r="G81" s="66"/>
      <c r="H81" s="66"/>
      <c r="I81" s="67"/>
      <c r="J81" s="67"/>
    </row>
    <row r="82" spans="1:10" ht="14.25" thickBot="1">
      <c r="A82" s="456" t="s">
        <v>102</v>
      </c>
      <c r="B82" s="456"/>
      <c r="C82" s="34">
        <f t="shared" ref="C82:H82" si="23">+C72+C78</f>
        <v>5796</v>
      </c>
      <c r="D82" s="34">
        <f t="shared" si="23"/>
        <v>17779</v>
      </c>
      <c r="E82" s="34">
        <f t="shared" si="23"/>
        <v>22985.625</v>
      </c>
      <c r="F82" s="34">
        <f t="shared" si="23"/>
        <v>34085.018130000004</v>
      </c>
      <c r="G82" s="34">
        <f t="shared" si="23"/>
        <v>46382.732969700002</v>
      </c>
      <c r="H82" s="34">
        <f t="shared" si="23"/>
        <v>68606.912872797009</v>
      </c>
      <c r="I82" s="67"/>
      <c r="J82" s="67"/>
    </row>
    <row r="83" spans="1:10" ht="14.25" thickTop="1">
      <c r="A83" s="57"/>
      <c r="B83" s="57"/>
      <c r="C83" s="57"/>
      <c r="D83" s="57"/>
      <c r="E83" s="57"/>
      <c r="F83" s="57"/>
      <c r="G83" s="57"/>
      <c r="H83" s="57"/>
      <c r="I83" s="67"/>
      <c r="J83" s="67"/>
    </row>
    <row r="84" spans="1:10" ht="14.25" thickBot="1">
      <c r="A84" s="456" t="s">
        <v>103</v>
      </c>
      <c r="B84" s="456"/>
      <c r="C84" s="34">
        <f t="shared" ref="C84:H84" si="24">+C80+C82</f>
        <v>30996</v>
      </c>
      <c r="D84" s="34">
        <f t="shared" si="24"/>
        <v>95079</v>
      </c>
      <c r="E84" s="34">
        <f t="shared" si="24"/>
        <v>177023.92499999999</v>
      </c>
      <c r="F84" s="34">
        <f t="shared" si="24"/>
        <v>347829.19712999999</v>
      </c>
      <c r="G84" s="34">
        <f t="shared" si="24"/>
        <v>692926.4071197001</v>
      </c>
      <c r="H84" s="34">
        <f t="shared" si="24"/>
        <v>1211519.6528546971</v>
      </c>
      <c r="I84" s="67"/>
      <c r="J84" s="67"/>
    </row>
    <row r="85" spans="1:10" ht="14.25" thickTop="1">
      <c r="A85" s="57"/>
      <c r="B85" s="57"/>
      <c r="C85" s="57"/>
      <c r="D85" s="57"/>
      <c r="E85" s="57"/>
      <c r="F85" s="57"/>
      <c r="G85" s="57"/>
      <c r="H85" s="57"/>
      <c r="I85" s="67"/>
      <c r="J85" s="67"/>
    </row>
    <row r="86" spans="1:10">
      <c r="A86" s="57"/>
      <c r="B86" s="57"/>
      <c r="C86" s="57"/>
      <c r="D86" s="57"/>
      <c r="E86" s="57"/>
      <c r="F86" s="57"/>
      <c r="G86" s="57"/>
      <c r="H86" s="57"/>
      <c r="I86" s="67"/>
      <c r="J86" s="67"/>
    </row>
    <row r="87" spans="1:10" ht="14.25" thickBot="1">
      <c r="A87" s="75" t="s">
        <v>104</v>
      </c>
      <c r="B87" s="411">
        <v>0.01</v>
      </c>
      <c r="C87" s="34">
        <f t="shared" ref="C87:H87" si="25">+$B$87*C84</f>
        <v>309.95999999999998</v>
      </c>
      <c r="D87" s="34">
        <f t="shared" si="25"/>
        <v>950.79</v>
      </c>
      <c r="E87" s="34">
        <f t="shared" si="25"/>
        <v>1770.2392499999999</v>
      </c>
      <c r="F87" s="34">
        <f t="shared" si="25"/>
        <v>3478.2919713000001</v>
      </c>
      <c r="G87" s="34">
        <f t="shared" si="25"/>
        <v>6929.2640711970016</v>
      </c>
      <c r="H87" s="34">
        <f t="shared" si="25"/>
        <v>12115.196528546971</v>
      </c>
      <c r="I87" s="67"/>
      <c r="J87" s="67"/>
    </row>
    <row r="88" spans="1:10" ht="14.25" thickTop="1">
      <c r="A88" s="57"/>
      <c r="B88" s="57"/>
      <c r="C88" s="57"/>
      <c r="D88" s="57"/>
      <c r="E88" s="57"/>
      <c r="F88" s="57"/>
      <c r="G88" s="57"/>
      <c r="H88" s="57"/>
    </row>
    <row r="89" spans="1:10">
      <c r="A89" s="67"/>
      <c r="B89" s="67"/>
      <c r="C89" s="67"/>
      <c r="D89" s="67"/>
      <c r="E89" s="67"/>
      <c r="F89" s="67"/>
      <c r="G89" s="67"/>
      <c r="H89" s="67"/>
    </row>
    <row r="90" spans="1:10">
      <c r="A90" s="67"/>
      <c r="B90" s="67"/>
      <c r="C90" s="67"/>
      <c r="D90" s="67"/>
      <c r="E90" s="67"/>
      <c r="F90" s="67"/>
      <c r="G90" s="67"/>
      <c r="H90" s="67"/>
    </row>
    <row r="91" spans="1:10">
      <c r="A91" s="67"/>
      <c r="B91" s="67"/>
      <c r="C91" s="67"/>
      <c r="D91" s="67"/>
      <c r="E91" s="67"/>
      <c r="F91" s="67"/>
      <c r="G91" s="67"/>
      <c r="H91" s="67"/>
    </row>
    <row r="92" spans="1:10">
      <c r="A92" s="67"/>
      <c r="B92" s="67"/>
      <c r="C92" s="67"/>
      <c r="D92" s="67"/>
      <c r="E92" s="67"/>
      <c r="F92" s="67"/>
      <c r="G92" s="67"/>
      <c r="H92" s="67"/>
    </row>
    <row r="93" spans="1:10">
      <c r="A93" s="67"/>
      <c r="B93" s="67"/>
      <c r="C93" s="67"/>
      <c r="D93" s="67"/>
      <c r="E93" s="67"/>
      <c r="F93" s="67"/>
      <c r="G93" s="67"/>
      <c r="H93" s="67"/>
    </row>
    <row r="94" spans="1:10">
      <c r="A94" s="67"/>
      <c r="B94" s="67"/>
      <c r="C94" s="67"/>
      <c r="D94" s="67"/>
      <c r="E94" s="67"/>
      <c r="F94" s="67"/>
      <c r="G94" s="67"/>
      <c r="H94" s="67"/>
    </row>
    <row r="95" spans="1:10">
      <c r="A95" s="67"/>
      <c r="B95" s="67"/>
      <c r="C95" s="67"/>
      <c r="D95" s="67"/>
      <c r="E95" s="67"/>
      <c r="F95" s="67"/>
      <c r="G95" s="67"/>
      <c r="H95" s="67"/>
    </row>
    <row r="96" spans="1:10">
      <c r="A96" s="67"/>
      <c r="B96" s="67"/>
      <c r="C96" s="67"/>
      <c r="D96" s="67"/>
      <c r="E96" s="67"/>
      <c r="F96" s="67"/>
      <c r="G96" s="67"/>
      <c r="H96" s="67"/>
    </row>
    <row r="97" spans="1:8">
      <c r="A97" s="67"/>
      <c r="B97" s="67"/>
      <c r="C97" s="67"/>
      <c r="D97" s="67"/>
      <c r="E97" s="67"/>
      <c r="F97" s="67"/>
      <c r="G97" s="67"/>
      <c r="H97" s="67"/>
    </row>
    <row r="98" spans="1:8">
      <c r="A98" s="67"/>
      <c r="B98" s="67"/>
      <c r="C98" s="67"/>
      <c r="D98" s="67"/>
      <c r="E98" s="67"/>
      <c r="F98" s="67"/>
      <c r="G98" s="67"/>
      <c r="H98" s="67"/>
    </row>
    <row r="99" spans="1:8">
      <c r="A99" s="67"/>
      <c r="B99" s="67"/>
      <c r="C99" s="67"/>
      <c r="D99" s="67"/>
      <c r="E99" s="67"/>
      <c r="F99" s="67"/>
      <c r="G99" s="67"/>
      <c r="H99" s="67"/>
    </row>
    <row r="100" spans="1:8">
      <c r="A100" s="67"/>
      <c r="B100" s="67"/>
      <c r="C100" s="67"/>
      <c r="D100" s="67"/>
      <c r="E100" s="67"/>
      <c r="F100" s="67"/>
      <c r="G100" s="67"/>
      <c r="H100" s="67"/>
    </row>
    <row r="101" spans="1:8">
      <c r="A101" s="67"/>
      <c r="B101" s="67"/>
      <c r="C101" s="67"/>
      <c r="D101" s="67"/>
      <c r="E101" s="67"/>
      <c r="F101" s="67"/>
      <c r="G101" s="67"/>
      <c r="H101" s="67"/>
    </row>
    <row r="102" spans="1:8">
      <c r="A102" s="67"/>
      <c r="B102" s="67"/>
      <c r="C102" s="67"/>
      <c r="D102" s="67"/>
      <c r="E102" s="67"/>
      <c r="F102" s="67"/>
      <c r="G102" s="67"/>
      <c r="H102" s="67"/>
    </row>
    <row r="103" spans="1:8">
      <c r="A103" s="67"/>
      <c r="B103" s="67"/>
      <c r="C103" s="67"/>
      <c r="D103" s="67"/>
      <c r="E103" s="67"/>
      <c r="F103" s="67"/>
      <c r="G103" s="67"/>
      <c r="H103" s="67"/>
    </row>
    <row r="104" spans="1:8">
      <c r="A104" s="67"/>
      <c r="B104" s="67"/>
      <c r="C104" s="67"/>
      <c r="D104" s="67"/>
      <c r="E104" s="67"/>
      <c r="F104" s="67"/>
      <c r="G104" s="67"/>
      <c r="H104" s="67"/>
    </row>
    <row r="105" spans="1:8">
      <c r="A105" s="67"/>
      <c r="B105" s="67"/>
      <c r="C105" s="67"/>
      <c r="D105" s="67"/>
      <c r="E105" s="67"/>
      <c r="F105" s="67"/>
      <c r="G105" s="67"/>
      <c r="H105" s="67"/>
    </row>
    <row r="106" spans="1:8">
      <c r="A106" s="67"/>
      <c r="B106" s="67"/>
      <c r="C106" s="67"/>
      <c r="D106" s="67"/>
      <c r="E106" s="67"/>
      <c r="F106" s="67"/>
      <c r="G106" s="67"/>
      <c r="H106" s="67"/>
    </row>
    <row r="107" spans="1:8">
      <c r="A107" s="67"/>
      <c r="B107" s="67"/>
      <c r="C107" s="67"/>
      <c r="D107" s="67"/>
      <c r="E107" s="67"/>
      <c r="F107" s="67"/>
      <c r="G107" s="67"/>
      <c r="H107" s="67"/>
    </row>
    <row r="108" spans="1:8">
      <c r="A108" s="67"/>
      <c r="B108" s="67"/>
      <c r="C108" s="67"/>
      <c r="D108" s="67"/>
      <c r="E108" s="67"/>
      <c r="F108" s="67"/>
      <c r="G108" s="67"/>
      <c r="H108" s="67"/>
    </row>
    <row r="109" spans="1:8">
      <c r="A109" s="67"/>
      <c r="B109" s="67"/>
      <c r="C109" s="67"/>
      <c r="D109" s="67"/>
      <c r="E109" s="67"/>
      <c r="F109" s="67"/>
      <c r="G109" s="67"/>
      <c r="H109" s="67"/>
    </row>
    <row r="110" spans="1:8">
      <c r="A110" s="67"/>
      <c r="B110" s="67"/>
      <c r="C110" s="67"/>
      <c r="D110" s="67"/>
      <c r="E110" s="67"/>
      <c r="F110" s="67"/>
      <c r="G110" s="67"/>
      <c r="H110" s="67"/>
    </row>
    <row r="111" spans="1:8">
      <c r="A111" s="67"/>
      <c r="B111" s="67"/>
      <c r="C111" s="67"/>
      <c r="D111" s="67"/>
      <c r="E111" s="67"/>
      <c r="F111" s="67"/>
      <c r="G111" s="67"/>
      <c r="H111" s="67"/>
    </row>
    <row r="112" spans="1:8">
      <c r="A112" s="67"/>
      <c r="B112" s="67"/>
      <c r="C112" s="67"/>
      <c r="D112" s="67"/>
      <c r="E112" s="67"/>
      <c r="F112" s="67"/>
      <c r="G112" s="67"/>
      <c r="H112" s="67"/>
    </row>
    <row r="113" spans="1:8">
      <c r="A113" s="67"/>
      <c r="B113" s="67"/>
      <c r="C113" s="67"/>
      <c r="D113" s="67"/>
      <c r="E113" s="67"/>
      <c r="F113" s="67"/>
      <c r="G113" s="67"/>
      <c r="H113" s="67"/>
    </row>
    <row r="114" spans="1:8">
      <c r="A114" s="67"/>
      <c r="B114" s="67"/>
      <c r="C114" s="67"/>
      <c r="D114" s="67"/>
      <c r="E114" s="67"/>
      <c r="F114" s="67"/>
      <c r="G114" s="67"/>
      <c r="H114" s="67"/>
    </row>
    <row r="115" spans="1:8">
      <c r="A115" s="67"/>
      <c r="B115" s="67"/>
      <c r="C115" s="67"/>
      <c r="D115" s="67"/>
      <c r="E115" s="67"/>
      <c r="F115" s="67"/>
      <c r="G115" s="67"/>
      <c r="H115" s="67"/>
    </row>
    <row r="116" spans="1:8">
      <c r="A116" s="67"/>
      <c r="B116" s="67"/>
      <c r="C116" s="67"/>
      <c r="D116" s="67"/>
      <c r="E116" s="67"/>
      <c r="F116" s="67"/>
      <c r="G116" s="67"/>
      <c r="H116" s="67"/>
    </row>
    <row r="117" spans="1:8">
      <c r="A117" s="67"/>
      <c r="B117" s="67"/>
      <c r="C117" s="67"/>
      <c r="D117" s="67"/>
      <c r="E117" s="67"/>
      <c r="F117" s="67"/>
      <c r="G117" s="67"/>
      <c r="H117" s="67"/>
    </row>
    <row r="118" spans="1:8">
      <c r="A118" s="67"/>
      <c r="B118" s="67"/>
      <c r="C118" s="67"/>
      <c r="D118" s="67"/>
      <c r="E118" s="67"/>
      <c r="F118" s="67"/>
      <c r="G118" s="67"/>
      <c r="H118" s="67"/>
    </row>
    <row r="119" spans="1:8">
      <c r="A119" s="67"/>
      <c r="B119" s="67"/>
      <c r="C119" s="67"/>
      <c r="D119" s="67"/>
      <c r="E119" s="67"/>
      <c r="F119" s="67"/>
      <c r="G119" s="67"/>
      <c r="H119" s="67"/>
    </row>
    <row r="120" spans="1:8">
      <c r="A120" s="67"/>
      <c r="B120" s="67"/>
      <c r="C120" s="67"/>
      <c r="D120" s="67"/>
      <c r="E120" s="67"/>
      <c r="F120" s="67"/>
      <c r="G120" s="67"/>
      <c r="H120" s="67"/>
    </row>
    <row r="121" spans="1:8">
      <c r="A121" s="67"/>
      <c r="B121" s="67"/>
      <c r="C121" s="67"/>
      <c r="D121" s="67"/>
      <c r="E121" s="67"/>
      <c r="F121" s="67"/>
      <c r="G121" s="67"/>
      <c r="H121" s="67"/>
    </row>
    <row r="122" spans="1:8">
      <c r="A122" s="67"/>
      <c r="B122" s="67"/>
      <c r="C122" s="67"/>
      <c r="D122" s="67"/>
      <c r="E122" s="67"/>
      <c r="F122" s="67"/>
      <c r="G122" s="67"/>
      <c r="H122" s="67"/>
    </row>
    <row r="123" spans="1:8">
      <c r="A123" s="67"/>
      <c r="B123" s="67"/>
      <c r="C123" s="67"/>
      <c r="D123" s="67"/>
      <c r="E123" s="67"/>
      <c r="F123" s="67"/>
      <c r="G123" s="67"/>
      <c r="H123" s="67"/>
    </row>
    <row r="124" spans="1:8">
      <c r="A124" s="67"/>
      <c r="B124" s="67"/>
      <c r="C124" s="67"/>
      <c r="D124" s="67"/>
      <c r="E124" s="67"/>
      <c r="F124" s="67"/>
      <c r="G124" s="67"/>
      <c r="H124" s="67"/>
    </row>
    <row r="125" spans="1:8">
      <c r="A125" s="67"/>
      <c r="B125" s="67"/>
      <c r="C125" s="67"/>
      <c r="D125" s="67"/>
      <c r="E125" s="67"/>
      <c r="F125" s="67"/>
      <c r="G125" s="67"/>
      <c r="H125" s="67"/>
    </row>
    <row r="126" spans="1:8">
      <c r="A126" s="67"/>
      <c r="B126" s="67"/>
      <c r="C126" s="67"/>
      <c r="D126" s="67"/>
      <c r="E126" s="67"/>
      <c r="F126" s="67"/>
      <c r="G126" s="67"/>
      <c r="H126" s="67"/>
    </row>
    <row r="127" spans="1:8">
      <c r="A127" s="67"/>
      <c r="B127" s="67"/>
      <c r="C127" s="67"/>
      <c r="D127" s="67"/>
      <c r="E127" s="67"/>
      <c r="F127" s="67"/>
      <c r="G127" s="67"/>
      <c r="H127" s="67"/>
    </row>
    <row r="128" spans="1:8">
      <c r="A128" s="67"/>
      <c r="B128" s="67"/>
      <c r="C128" s="67"/>
      <c r="D128" s="67"/>
      <c r="E128" s="67"/>
      <c r="F128" s="67"/>
      <c r="G128" s="67"/>
      <c r="H128" s="67"/>
    </row>
    <row r="129" spans="1:8">
      <c r="A129" s="67"/>
      <c r="B129" s="67"/>
      <c r="C129" s="67"/>
      <c r="D129" s="67"/>
      <c r="E129" s="67"/>
      <c r="F129" s="67"/>
      <c r="G129" s="67"/>
      <c r="H129" s="67"/>
    </row>
    <row r="130" spans="1:8">
      <c r="A130" s="67"/>
      <c r="B130" s="67"/>
      <c r="C130" s="67"/>
      <c r="D130" s="67"/>
      <c r="E130" s="67"/>
      <c r="F130" s="67"/>
      <c r="G130" s="67"/>
      <c r="H130" s="67"/>
    </row>
    <row r="131" spans="1:8">
      <c r="A131" s="67"/>
      <c r="B131" s="67"/>
      <c r="C131" s="67"/>
      <c r="D131" s="67"/>
      <c r="E131" s="67"/>
      <c r="F131" s="67"/>
      <c r="G131" s="67"/>
      <c r="H131" s="67"/>
    </row>
    <row r="132" spans="1:8">
      <c r="A132" s="67"/>
      <c r="B132" s="67"/>
      <c r="C132" s="67"/>
      <c r="D132" s="67"/>
      <c r="E132" s="67"/>
      <c r="F132" s="67"/>
      <c r="G132" s="67"/>
      <c r="H132" s="67"/>
    </row>
    <row r="133" spans="1:8">
      <c r="A133" s="67"/>
      <c r="B133" s="67"/>
      <c r="C133" s="67"/>
      <c r="D133" s="67"/>
      <c r="E133" s="67"/>
      <c r="F133" s="67"/>
      <c r="G133" s="67"/>
      <c r="H133" s="67"/>
    </row>
    <row r="134" spans="1:8">
      <c r="A134" s="67"/>
      <c r="B134" s="67"/>
      <c r="C134" s="67"/>
      <c r="D134" s="67"/>
      <c r="E134" s="67"/>
      <c r="F134" s="67"/>
      <c r="G134" s="67"/>
      <c r="H134" s="67"/>
    </row>
    <row r="135" spans="1:8">
      <c r="A135" s="67"/>
      <c r="B135" s="67"/>
      <c r="C135" s="67"/>
      <c r="D135" s="67"/>
      <c r="E135" s="67"/>
      <c r="F135" s="67"/>
      <c r="G135" s="67"/>
      <c r="H135" s="67"/>
    </row>
    <row r="136" spans="1:8">
      <c r="A136" s="67"/>
      <c r="B136" s="67"/>
      <c r="C136" s="67"/>
      <c r="D136" s="67"/>
      <c r="E136" s="67"/>
      <c r="F136" s="67"/>
      <c r="G136" s="67"/>
      <c r="H136" s="67"/>
    </row>
    <row r="137" spans="1:8">
      <c r="A137" s="67"/>
      <c r="B137" s="67"/>
      <c r="C137" s="67"/>
      <c r="D137" s="67"/>
      <c r="E137" s="67"/>
      <c r="F137" s="67"/>
      <c r="G137" s="67"/>
      <c r="H137" s="67"/>
    </row>
    <row r="138" spans="1:8">
      <c r="A138" s="67"/>
      <c r="B138" s="67"/>
      <c r="C138" s="67"/>
      <c r="D138" s="67"/>
      <c r="E138" s="67"/>
      <c r="F138" s="67"/>
      <c r="G138" s="67"/>
      <c r="H138" s="67"/>
    </row>
    <row r="139" spans="1:8">
      <c r="A139" s="67"/>
      <c r="B139" s="67"/>
      <c r="C139" s="67"/>
      <c r="D139" s="67"/>
      <c r="E139" s="67"/>
      <c r="F139" s="67"/>
      <c r="G139" s="67"/>
      <c r="H139" s="67"/>
    </row>
    <row r="140" spans="1:8">
      <c r="A140" s="67"/>
      <c r="B140" s="67"/>
      <c r="C140" s="67"/>
      <c r="D140" s="67"/>
      <c r="E140" s="67"/>
      <c r="F140" s="67"/>
      <c r="G140" s="67"/>
      <c r="H140" s="67"/>
    </row>
    <row r="141" spans="1:8">
      <c r="A141" s="67"/>
      <c r="B141" s="67"/>
      <c r="C141" s="67"/>
      <c r="D141" s="67"/>
      <c r="E141" s="67"/>
      <c r="F141" s="67"/>
      <c r="G141" s="67"/>
      <c r="H141" s="67"/>
    </row>
    <row r="142" spans="1:8">
      <c r="A142" s="67"/>
      <c r="B142" s="67"/>
      <c r="C142" s="67"/>
      <c r="D142" s="67"/>
      <c r="E142" s="67"/>
      <c r="F142" s="67"/>
      <c r="G142" s="67"/>
      <c r="H142" s="67"/>
    </row>
    <row r="143" spans="1:8">
      <c r="A143" s="67"/>
      <c r="B143" s="67"/>
      <c r="C143" s="67"/>
      <c r="D143" s="67"/>
      <c r="E143" s="67"/>
      <c r="F143" s="67"/>
      <c r="G143" s="67"/>
      <c r="H143" s="67"/>
    </row>
    <row r="144" spans="1:8">
      <c r="A144" s="67"/>
      <c r="B144" s="67"/>
      <c r="C144" s="67"/>
      <c r="D144" s="67"/>
      <c r="E144" s="67"/>
      <c r="F144" s="67"/>
      <c r="G144" s="67"/>
      <c r="H144" s="67"/>
    </row>
    <row r="145" spans="1:8">
      <c r="A145" s="67"/>
      <c r="B145" s="67"/>
      <c r="C145" s="67"/>
      <c r="D145" s="67"/>
      <c r="E145" s="67"/>
      <c r="F145" s="67"/>
      <c r="G145" s="67"/>
      <c r="H145" s="67"/>
    </row>
    <row r="146" spans="1:8">
      <c r="A146" s="67"/>
      <c r="B146" s="67"/>
      <c r="C146" s="67"/>
      <c r="D146" s="67"/>
      <c r="E146" s="67"/>
      <c r="F146" s="67"/>
      <c r="G146" s="67"/>
      <c r="H146" s="67"/>
    </row>
    <row r="147" spans="1:8">
      <c r="A147" s="67"/>
      <c r="B147" s="67"/>
      <c r="C147" s="67"/>
      <c r="D147" s="67"/>
      <c r="E147" s="67"/>
      <c r="F147" s="67"/>
      <c r="G147" s="67"/>
      <c r="H147" s="67"/>
    </row>
    <row r="148" spans="1:8">
      <c r="A148" s="67"/>
      <c r="B148" s="67"/>
      <c r="C148" s="67"/>
      <c r="D148" s="67"/>
      <c r="E148" s="67"/>
      <c r="F148" s="67"/>
      <c r="G148" s="67"/>
      <c r="H148" s="67"/>
    </row>
    <row r="149" spans="1:8">
      <c r="A149" s="67"/>
      <c r="B149" s="67"/>
      <c r="C149" s="67"/>
      <c r="D149" s="67"/>
      <c r="E149" s="67"/>
      <c r="F149" s="67"/>
      <c r="G149" s="67"/>
      <c r="H149" s="67"/>
    </row>
    <row r="150" spans="1:8">
      <c r="A150" s="67"/>
      <c r="B150" s="67"/>
      <c r="C150" s="67"/>
      <c r="D150" s="67"/>
      <c r="E150" s="67"/>
      <c r="F150" s="67"/>
      <c r="G150" s="67"/>
      <c r="H150" s="67"/>
    </row>
    <row r="151" spans="1:8">
      <c r="A151" s="67"/>
      <c r="B151" s="67"/>
      <c r="C151" s="67"/>
      <c r="D151" s="67"/>
      <c r="E151" s="67"/>
      <c r="F151" s="67"/>
      <c r="G151" s="67"/>
      <c r="H151" s="67"/>
    </row>
    <row r="152" spans="1:8">
      <c r="A152" s="67"/>
      <c r="B152" s="67"/>
      <c r="C152" s="67"/>
      <c r="D152" s="67"/>
      <c r="E152" s="67"/>
      <c r="F152" s="67"/>
      <c r="G152" s="67"/>
      <c r="H152" s="67"/>
    </row>
    <row r="153" spans="1:8">
      <c r="A153" s="67"/>
      <c r="B153" s="67"/>
      <c r="C153" s="67"/>
      <c r="D153" s="67"/>
      <c r="E153" s="67"/>
      <c r="F153" s="67"/>
      <c r="G153" s="67"/>
      <c r="H153" s="67"/>
    </row>
    <row r="154" spans="1:8">
      <c r="A154" s="67"/>
      <c r="B154" s="67"/>
      <c r="C154" s="67"/>
      <c r="D154" s="67"/>
      <c r="E154" s="67"/>
      <c r="F154" s="67"/>
      <c r="G154" s="67"/>
      <c r="H154" s="67"/>
    </row>
    <row r="155" spans="1:8">
      <c r="A155" s="67"/>
      <c r="B155" s="67"/>
      <c r="C155" s="67"/>
      <c r="D155" s="67"/>
      <c r="E155" s="67"/>
      <c r="F155" s="67"/>
      <c r="G155" s="67"/>
      <c r="H155" s="67"/>
    </row>
    <row r="156" spans="1:8">
      <c r="A156" s="67"/>
      <c r="B156" s="67"/>
      <c r="C156" s="67"/>
      <c r="D156" s="67"/>
      <c r="E156" s="67"/>
      <c r="F156" s="67"/>
      <c r="G156" s="67"/>
      <c r="H156" s="67"/>
    </row>
    <row r="157" spans="1:8">
      <c r="A157" s="67"/>
      <c r="B157" s="67"/>
      <c r="C157" s="67"/>
      <c r="D157" s="67"/>
      <c r="E157" s="67"/>
      <c r="F157" s="67"/>
      <c r="G157" s="67"/>
      <c r="H157" s="67"/>
    </row>
    <row r="158" spans="1:8">
      <c r="A158" s="67"/>
      <c r="B158" s="67"/>
      <c r="C158" s="67"/>
      <c r="D158" s="67"/>
      <c r="E158" s="67"/>
      <c r="F158" s="67"/>
      <c r="G158" s="67"/>
      <c r="H158" s="67"/>
    </row>
    <row r="159" spans="1:8">
      <c r="A159" s="67"/>
      <c r="B159" s="67"/>
      <c r="C159" s="67"/>
      <c r="D159" s="67"/>
      <c r="E159" s="67"/>
      <c r="F159" s="67"/>
      <c r="G159" s="67"/>
      <c r="H159" s="67"/>
    </row>
    <row r="160" spans="1:8">
      <c r="A160" s="67"/>
      <c r="B160" s="67"/>
      <c r="C160" s="67"/>
      <c r="D160" s="67"/>
      <c r="E160" s="67"/>
      <c r="F160" s="67"/>
      <c r="G160" s="67"/>
      <c r="H160" s="67"/>
    </row>
    <row r="161" spans="1:8">
      <c r="A161" s="67"/>
      <c r="B161" s="67"/>
      <c r="C161" s="67"/>
      <c r="D161" s="67"/>
      <c r="E161" s="67"/>
      <c r="F161" s="67"/>
      <c r="G161" s="67"/>
      <c r="H161" s="67"/>
    </row>
    <row r="162" spans="1:8">
      <c r="A162" s="67"/>
      <c r="B162" s="67"/>
      <c r="C162" s="67"/>
      <c r="D162" s="67"/>
      <c r="E162" s="67"/>
      <c r="F162" s="67"/>
      <c r="G162" s="67"/>
      <c r="H162" s="67"/>
    </row>
    <row r="163" spans="1:8">
      <c r="A163" s="67"/>
      <c r="B163" s="67"/>
      <c r="C163" s="67"/>
      <c r="D163" s="67"/>
      <c r="E163" s="67"/>
      <c r="F163" s="67"/>
      <c r="G163" s="67"/>
      <c r="H163" s="67"/>
    </row>
    <row r="164" spans="1:8">
      <c r="A164" s="67"/>
      <c r="B164" s="67"/>
      <c r="C164" s="67"/>
      <c r="D164" s="67"/>
      <c r="E164" s="67"/>
      <c r="F164" s="67"/>
      <c r="G164" s="67"/>
      <c r="H164" s="67"/>
    </row>
    <row r="165" spans="1:8">
      <c r="A165" s="67"/>
      <c r="B165" s="67"/>
      <c r="C165" s="67"/>
      <c r="D165" s="67"/>
      <c r="E165" s="67"/>
      <c r="F165" s="67"/>
      <c r="G165" s="67"/>
      <c r="H165" s="67"/>
    </row>
    <row r="166" spans="1:8">
      <c r="A166" s="67"/>
      <c r="B166" s="67"/>
      <c r="C166" s="67"/>
      <c r="D166" s="67"/>
      <c r="E166" s="67"/>
      <c r="F166" s="67"/>
      <c r="G166" s="67"/>
      <c r="H166" s="67"/>
    </row>
    <row r="167" spans="1:8">
      <c r="A167" s="67"/>
      <c r="B167" s="67"/>
      <c r="C167" s="67"/>
      <c r="D167" s="67"/>
      <c r="E167" s="67"/>
      <c r="F167" s="67"/>
      <c r="G167" s="67"/>
      <c r="H167" s="67"/>
    </row>
    <row r="168" spans="1:8">
      <c r="A168" s="67"/>
      <c r="B168" s="67"/>
      <c r="C168" s="67"/>
      <c r="D168" s="67"/>
      <c r="E168" s="67"/>
      <c r="F168" s="67"/>
      <c r="G168" s="67"/>
      <c r="H168" s="67"/>
    </row>
    <row r="169" spans="1:8">
      <c r="A169" s="67"/>
      <c r="B169" s="67"/>
      <c r="C169" s="67"/>
      <c r="D169" s="67"/>
      <c r="E169" s="67"/>
      <c r="F169" s="67"/>
      <c r="G169" s="67"/>
      <c r="H169" s="67"/>
    </row>
    <row r="170" spans="1:8">
      <c r="A170" s="67"/>
      <c r="B170" s="67"/>
      <c r="C170" s="67"/>
      <c r="D170" s="67"/>
      <c r="E170" s="67"/>
      <c r="F170" s="67"/>
      <c r="G170" s="67"/>
      <c r="H170" s="67"/>
    </row>
    <row r="171" spans="1:8">
      <c r="A171" s="67"/>
      <c r="B171" s="67"/>
      <c r="C171" s="67"/>
      <c r="D171" s="67"/>
      <c r="E171" s="67"/>
      <c r="F171" s="67"/>
      <c r="G171" s="67"/>
      <c r="H171" s="67"/>
    </row>
    <row r="172" spans="1:8">
      <c r="A172" s="67"/>
      <c r="B172" s="67"/>
      <c r="C172" s="67"/>
      <c r="D172" s="67"/>
      <c r="E172" s="67"/>
      <c r="F172" s="67"/>
      <c r="G172" s="67"/>
      <c r="H172" s="67"/>
    </row>
    <row r="173" spans="1:8">
      <c r="A173" s="67"/>
      <c r="B173" s="67"/>
      <c r="C173" s="67"/>
      <c r="D173" s="67"/>
      <c r="E173" s="67"/>
      <c r="F173" s="67"/>
      <c r="G173" s="67"/>
      <c r="H173" s="67"/>
    </row>
    <row r="174" spans="1:8">
      <c r="A174" s="67"/>
      <c r="B174" s="67"/>
      <c r="C174" s="67"/>
      <c r="D174" s="67"/>
      <c r="E174" s="67"/>
      <c r="F174" s="67"/>
      <c r="G174" s="67"/>
      <c r="H174" s="67"/>
    </row>
    <row r="175" spans="1:8">
      <c r="A175" s="67"/>
      <c r="B175" s="67"/>
      <c r="C175" s="67"/>
      <c r="D175" s="67"/>
      <c r="E175" s="67"/>
      <c r="F175" s="67"/>
      <c r="G175" s="67"/>
      <c r="H175" s="67"/>
    </row>
    <row r="176" spans="1:8">
      <c r="A176" s="67"/>
      <c r="B176" s="67"/>
      <c r="C176" s="67"/>
      <c r="D176" s="67"/>
      <c r="E176" s="67"/>
      <c r="F176" s="67"/>
      <c r="G176" s="67"/>
      <c r="H176" s="67"/>
    </row>
    <row r="177" spans="1:8">
      <c r="A177" s="67"/>
      <c r="B177" s="67"/>
      <c r="C177" s="67"/>
      <c r="D177" s="67"/>
      <c r="E177" s="67"/>
      <c r="F177" s="67"/>
      <c r="G177" s="67"/>
      <c r="H177" s="67"/>
    </row>
    <row r="178" spans="1:8">
      <c r="A178" s="67"/>
      <c r="B178" s="67"/>
      <c r="C178" s="67"/>
      <c r="D178" s="67"/>
      <c r="E178" s="67"/>
      <c r="F178" s="67"/>
      <c r="G178" s="67"/>
      <c r="H178" s="67"/>
    </row>
    <row r="179" spans="1:8">
      <c r="A179" s="67"/>
      <c r="B179" s="67"/>
      <c r="C179" s="67"/>
      <c r="D179" s="67"/>
      <c r="E179" s="67"/>
      <c r="F179" s="67"/>
      <c r="G179" s="67"/>
      <c r="H179" s="67"/>
    </row>
    <row r="180" spans="1:8">
      <c r="A180" s="67"/>
      <c r="B180" s="67"/>
      <c r="C180" s="67"/>
      <c r="D180" s="67"/>
      <c r="E180" s="67"/>
      <c r="F180" s="67"/>
      <c r="G180" s="67"/>
      <c r="H180" s="67"/>
    </row>
    <row r="181" spans="1:8">
      <c r="A181" s="67"/>
      <c r="B181" s="67"/>
      <c r="C181" s="67"/>
      <c r="D181" s="67"/>
      <c r="E181" s="67"/>
      <c r="F181" s="67"/>
      <c r="G181" s="67"/>
      <c r="H181" s="67"/>
    </row>
    <row r="182" spans="1:8">
      <c r="A182" s="67"/>
      <c r="B182" s="67"/>
      <c r="C182" s="67"/>
      <c r="D182" s="67"/>
      <c r="E182" s="67"/>
      <c r="F182" s="67"/>
      <c r="G182" s="67"/>
      <c r="H182" s="67"/>
    </row>
    <row r="183" spans="1:8">
      <c r="A183" s="67"/>
      <c r="B183" s="67"/>
      <c r="C183" s="67"/>
      <c r="D183" s="67"/>
      <c r="E183" s="67"/>
      <c r="F183" s="67"/>
      <c r="G183" s="67"/>
      <c r="H183" s="67"/>
    </row>
    <row r="184" spans="1:8">
      <c r="A184" s="67"/>
      <c r="B184" s="67"/>
      <c r="C184" s="67"/>
      <c r="D184" s="67"/>
      <c r="E184" s="67"/>
      <c r="F184" s="67"/>
      <c r="G184" s="67"/>
      <c r="H184" s="67"/>
    </row>
    <row r="185" spans="1:8">
      <c r="A185" s="67"/>
      <c r="B185" s="67"/>
      <c r="C185" s="67"/>
      <c r="D185" s="67"/>
      <c r="E185" s="67"/>
      <c r="F185" s="67"/>
      <c r="G185" s="67"/>
      <c r="H185" s="67"/>
    </row>
    <row r="186" spans="1:8">
      <c r="A186" s="67"/>
      <c r="B186" s="67"/>
      <c r="C186" s="67"/>
      <c r="D186" s="67"/>
      <c r="E186" s="67"/>
      <c r="F186" s="67"/>
      <c r="G186" s="67"/>
      <c r="H186" s="67"/>
    </row>
    <row r="187" spans="1:8">
      <c r="A187" s="67"/>
      <c r="B187" s="67"/>
      <c r="C187" s="67"/>
      <c r="D187" s="67"/>
      <c r="E187" s="67"/>
      <c r="F187" s="67"/>
      <c r="G187" s="67"/>
      <c r="H187" s="67"/>
    </row>
    <row r="188" spans="1:8">
      <c r="A188" s="67"/>
      <c r="B188" s="67"/>
      <c r="C188" s="67"/>
      <c r="D188" s="67"/>
      <c r="E188" s="67"/>
      <c r="F188" s="67"/>
      <c r="G188" s="67"/>
      <c r="H188" s="67"/>
    </row>
    <row r="189" spans="1:8">
      <c r="A189" s="67"/>
      <c r="B189" s="67"/>
      <c r="C189" s="67"/>
      <c r="D189" s="67"/>
      <c r="E189" s="67"/>
      <c r="F189" s="67"/>
      <c r="G189" s="67"/>
      <c r="H189" s="67"/>
    </row>
    <row r="190" spans="1:8">
      <c r="A190" s="67"/>
      <c r="B190" s="67"/>
      <c r="C190" s="67"/>
      <c r="D190" s="67"/>
      <c r="E190" s="67"/>
      <c r="F190" s="67"/>
      <c r="G190" s="67"/>
      <c r="H190" s="67"/>
    </row>
    <row r="191" spans="1:8">
      <c r="A191" s="67"/>
      <c r="B191" s="67"/>
      <c r="C191" s="67"/>
      <c r="D191" s="67"/>
      <c r="E191" s="67"/>
      <c r="F191" s="67"/>
      <c r="G191" s="67"/>
      <c r="H191" s="67"/>
    </row>
    <row r="192" spans="1:8">
      <c r="A192" s="67"/>
      <c r="B192" s="67"/>
      <c r="C192" s="67"/>
      <c r="D192" s="67"/>
      <c r="E192" s="67"/>
      <c r="F192" s="67"/>
      <c r="G192" s="67"/>
      <c r="H192" s="67"/>
    </row>
    <row r="193" spans="1:8">
      <c r="A193" s="67"/>
      <c r="B193" s="67"/>
      <c r="C193" s="67"/>
      <c r="D193" s="67"/>
      <c r="E193" s="67"/>
      <c r="F193" s="67"/>
      <c r="G193" s="67"/>
      <c r="H193" s="67"/>
    </row>
    <row r="194" spans="1:8">
      <c r="A194" s="67"/>
      <c r="B194" s="67"/>
      <c r="C194" s="67"/>
      <c r="D194" s="67"/>
      <c r="E194" s="67"/>
      <c r="F194" s="67"/>
      <c r="G194" s="67"/>
      <c r="H194" s="67"/>
    </row>
    <row r="195" spans="1:8">
      <c r="A195" s="67"/>
      <c r="B195" s="67"/>
      <c r="C195" s="67"/>
      <c r="D195" s="67"/>
      <c r="E195" s="67"/>
      <c r="F195" s="67"/>
      <c r="G195" s="67"/>
      <c r="H195" s="67"/>
    </row>
    <row r="196" spans="1:8">
      <c r="A196" s="67"/>
      <c r="B196" s="67"/>
      <c r="C196" s="67"/>
      <c r="D196" s="67"/>
      <c r="E196" s="67"/>
      <c r="F196" s="67"/>
      <c r="G196" s="67"/>
      <c r="H196" s="67"/>
    </row>
    <row r="197" spans="1:8">
      <c r="A197" s="67"/>
      <c r="B197" s="67"/>
      <c r="C197" s="67"/>
      <c r="D197" s="67"/>
      <c r="E197" s="67"/>
      <c r="F197" s="67"/>
      <c r="G197" s="67"/>
      <c r="H197" s="67"/>
    </row>
    <row r="198" spans="1:8">
      <c r="A198" s="67"/>
      <c r="B198" s="67"/>
      <c r="C198" s="67"/>
      <c r="D198" s="67"/>
      <c r="E198" s="67"/>
      <c r="F198" s="67"/>
      <c r="G198" s="67"/>
      <c r="H198" s="67"/>
    </row>
    <row r="199" spans="1:8">
      <c r="A199" s="67"/>
      <c r="B199" s="67"/>
      <c r="C199" s="67"/>
      <c r="D199" s="67"/>
      <c r="E199" s="67"/>
      <c r="F199" s="67"/>
      <c r="G199" s="67"/>
      <c r="H199" s="67"/>
    </row>
    <row r="200" spans="1:8">
      <c r="A200" s="67"/>
      <c r="B200" s="67"/>
      <c r="C200" s="67"/>
      <c r="D200" s="67"/>
      <c r="E200" s="67"/>
      <c r="F200" s="67"/>
      <c r="G200" s="67"/>
      <c r="H200" s="67"/>
    </row>
    <row r="201" spans="1:8">
      <c r="A201" s="67"/>
      <c r="B201" s="67"/>
      <c r="C201" s="67"/>
      <c r="D201" s="67"/>
      <c r="E201" s="67"/>
      <c r="F201" s="67"/>
      <c r="G201" s="67"/>
      <c r="H201" s="67"/>
    </row>
    <row r="202" spans="1:8">
      <c r="A202" s="67"/>
      <c r="B202" s="67"/>
      <c r="C202" s="67"/>
      <c r="D202" s="67"/>
      <c r="E202" s="67"/>
      <c r="F202" s="67"/>
      <c r="G202" s="67"/>
      <c r="H202" s="67"/>
    </row>
    <row r="203" spans="1:8">
      <c r="A203" s="67"/>
      <c r="B203" s="67"/>
      <c r="C203" s="67"/>
      <c r="D203" s="67"/>
      <c r="E203" s="67"/>
      <c r="F203" s="67"/>
      <c r="G203" s="67"/>
      <c r="H203" s="67"/>
    </row>
  </sheetData>
  <sheetProtection password="8318" sheet="1"/>
  <mergeCells count="33">
    <mergeCell ref="A4:H4"/>
    <mergeCell ref="A29:B29"/>
    <mergeCell ref="A12:B12"/>
    <mergeCell ref="A8:B8"/>
    <mergeCell ref="A13:B13"/>
    <mergeCell ref="A17:B17"/>
    <mergeCell ref="A21:B21"/>
    <mergeCell ref="A25:B25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D52:H52 D50:H50 E16:H16 D20 D26 E26:H26 D28 E8:H8 E18 D18 E22:H22 D22 D24 B72 B78 D8 E48:F48 E20:H20 G18:H18 E24:H24 E28:H28 H48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17A3D-A2AC-47B4-8F56-E9EC760BCCA8}">
  <sheetPr codeName="Folha2"/>
  <dimension ref="A1:I140"/>
  <sheetViews>
    <sheetView showGridLines="0" showZeros="0" zoomScaleNormal="100" workbookViewId="0">
      <selection activeCell="B16" sqref="A16:B16"/>
    </sheetView>
  </sheetViews>
  <sheetFormatPr defaultColWidth="8.7109375" defaultRowHeight="13.5"/>
  <cols>
    <col min="1" max="1" width="40.5703125" style="50" customWidth="1"/>
    <col min="2" max="2" width="7.85546875" style="50" customWidth="1"/>
    <col min="3" max="14" width="11.42578125" style="50" customWidth="1"/>
    <col min="15" max="16384" width="8.7109375" style="50"/>
  </cols>
  <sheetData>
    <row r="1" spans="1:9" ht="14.25">
      <c r="A1" s="46"/>
      <c r="B1" s="46"/>
      <c r="C1" s="47"/>
      <c r="D1" s="47"/>
      <c r="E1" s="47"/>
      <c r="F1" s="47"/>
      <c r="G1" s="48" t="s">
        <v>105</v>
      </c>
      <c r="H1" s="49" t="str">
        <f>+Pressupostos!E1</f>
        <v>WAITR</v>
      </c>
    </row>
    <row r="2" spans="1:9">
      <c r="A2" s="51"/>
      <c r="B2" s="47"/>
      <c r="C2" s="47"/>
      <c r="D2" s="47"/>
      <c r="E2" s="47"/>
      <c r="F2" s="47"/>
      <c r="G2" s="47"/>
      <c r="H2" s="52" t="str">
        <f>+Pressupostos!B9</f>
        <v>Euros</v>
      </c>
      <c r="I2" s="67"/>
    </row>
    <row r="3" spans="1:9">
      <c r="A3" s="51"/>
      <c r="B3" s="47"/>
      <c r="C3" s="47"/>
      <c r="D3" s="47"/>
      <c r="E3" s="47"/>
      <c r="F3" s="47"/>
      <c r="G3" s="47"/>
      <c r="H3" s="52"/>
      <c r="I3" s="67"/>
    </row>
    <row r="4" spans="1:9" ht="16.5">
      <c r="A4" s="457" t="s">
        <v>106</v>
      </c>
      <c r="B4" s="457"/>
      <c r="C4" s="457"/>
      <c r="D4" s="457"/>
      <c r="E4" s="457"/>
      <c r="F4" s="457"/>
      <c r="G4" s="457"/>
      <c r="H4" s="457"/>
      <c r="I4" s="67"/>
    </row>
    <row r="5" spans="1:9">
      <c r="A5" s="53"/>
      <c r="B5" s="53"/>
      <c r="C5" s="53"/>
      <c r="D5" s="53"/>
      <c r="E5" s="53"/>
      <c r="F5" s="53"/>
      <c r="G5" s="53"/>
      <c r="H5" s="53"/>
      <c r="I5" s="67"/>
    </row>
    <row r="6" spans="1:9">
      <c r="A6" s="57"/>
      <c r="B6" s="57"/>
      <c r="C6" s="57"/>
      <c r="D6" s="57"/>
      <c r="E6" s="57"/>
      <c r="F6" s="57"/>
      <c r="G6" s="57"/>
      <c r="H6" s="57"/>
      <c r="I6" s="67"/>
    </row>
    <row r="7" spans="1:9" ht="25.5">
      <c r="A7" s="78" t="s">
        <v>107</v>
      </c>
      <c r="B7" s="79" t="s">
        <v>108</v>
      </c>
      <c r="C7" s="80">
        <f>+VN!C8</f>
        <v>2024</v>
      </c>
      <c r="D7" s="80">
        <f>+VN!D8</f>
        <v>2025</v>
      </c>
      <c r="E7" s="80">
        <f>+VN!E8</f>
        <v>2026</v>
      </c>
      <c r="F7" s="80">
        <f>+VN!F8</f>
        <v>2027</v>
      </c>
      <c r="G7" s="80">
        <f>+VN!G8</f>
        <v>2028</v>
      </c>
      <c r="H7" s="80">
        <f>+VN!H8</f>
        <v>2029</v>
      </c>
      <c r="I7" s="67"/>
    </row>
    <row r="8" spans="1:9">
      <c r="A8" s="78" t="s">
        <v>109</v>
      </c>
      <c r="B8" s="353"/>
      <c r="C8" s="354">
        <f t="shared" ref="C8:H8" si="0">+SUM(C9:C12)</f>
        <v>21250</v>
      </c>
      <c r="D8" s="354">
        <f t="shared" si="0"/>
        <v>65025</v>
      </c>
      <c r="E8" s="354">
        <f t="shared" si="0"/>
        <v>82906.875</v>
      </c>
      <c r="F8" s="354">
        <f t="shared" si="0"/>
        <v>121886.37135</v>
      </c>
      <c r="G8" s="354">
        <f t="shared" si="0"/>
        <v>163254.44793150001</v>
      </c>
      <c r="H8" s="354">
        <f t="shared" si="0"/>
        <v>237227.28670381499</v>
      </c>
      <c r="I8" s="67"/>
    </row>
    <row r="9" spans="1:9">
      <c r="A9" s="81" t="str">
        <f>+VN!A13</f>
        <v>Produto A *</v>
      </c>
      <c r="B9" s="30">
        <v>0.15</v>
      </c>
      <c r="C9" s="355">
        <f>VN!C13*(1-CMVMC!$B$9)</f>
        <v>21250</v>
      </c>
      <c r="D9" s="355">
        <f>VN!D13*(1-CMVMC!$B$9)</f>
        <v>65025</v>
      </c>
      <c r="E9" s="355">
        <f>VN!E13*(1-CMVMC!$B$9)</f>
        <v>82906.875</v>
      </c>
      <c r="F9" s="355">
        <f>VN!F13*(1-CMVMC!$B$9)</f>
        <v>93021.513749999998</v>
      </c>
      <c r="G9" s="355">
        <f>VN!G13*(1-CMVMC!$B$9)</f>
        <v>104370.1384275</v>
      </c>
      <c r="H9" s="355">
        <f>VN!H13*(1-CMVMC!$B$9)</f>
        <v>117103.29531565501</v>
      </c>
      <c r="I9" s="67"/>
    </row>
    <row r="10" spans="1:9">
      <c r="A10" s="81" t="str">
        <f>+VN!A17</f>
        <v>Produto B *</v>
      </c>
      <c r="B10" s="30">
        <v>0.15</v>
      </c>
      <c r="C10" s="355">
        <f>VN!C17*(1-CMVMC!$B$10)</f>
        <v>0</v>
      </c>
      <c r="D10" s="355">
        <f>VN!D17*(1-CMVMC!$B$10)</f>
        <v>0</v>
      </c>
      <c r="E10" s="355">
        <f>VN!E17*(1-CMVMC!$B$10)</f>
        <v>0</v>
      </c>
      <c r="F10" s="355">
        <f>VN!F17*(1-CMVMC!$B$10)</f>
        <v>28864.857600000003</v>
      </c>
      <c r="G10" s="355">
        <f>VN!G17*(1-CMVMC!$B$10)</f>
        <v>58884.309504000004</v>
      </c>
      <c r="H10" s="355">
        <f>VN!H17*(1-CMVMC!$B$10)</f>
        <v>120123.99138815999</v>
      </c>
      <c r="I10" s="67"/>
    </row>
    <row r="11" spans="1:9">
      <c r="A11" s="81" t="str">
        <f>+VN!A21</f>
        <v>Produto C *</v>
      </c>
      <c r="B11" s="30"/>
      <c r="C11" s="355">
        <f>VN!C21*(1-CMVMC!$B$11)</f>
        <v>0</v>
      </c>
      <c r="D11" s="355">
        <f>VN!D21*(1-CMVMC!$B$11)</f>
        <v>0</v>
      </c>
      <c r="E11" s="355">
        <f>VN!E21*(1-CMVMC!$B$11)</f>
        <v>0</v>
      </c>
      <c r="F11" s="355">
        <f>VN!F21*(1-CMVMC!$B$11)</f>
        <v>0</v>
      </c>
      <c r="G11" s="355">
        <f>VN!G21*(1-CMVMC!$B$11)</f>
        <v>0</v>
      </c>
      <c r="H11" s="355">
        <f>VN!H21*(1-CMVMC!$B$11)</f>
        <v>0</v>
      </c>
      <c r="I11" s="67"/>
    </row>
    <row r="12" spans="1:9">
      <c r="A12" s="81" t="str">
        <f>+VN!A25</f>
        <v>Produto D *</v>
      </c>
      <c r="B12" s="30"/>
      <c r="C12" s="355">
        <f>VN!C25*(1-CMVMC!$B$12)</f>
        <v>0</v>
      </c>
      <c r="D12" s="355">
        <f>VN!D25*(1-CMVMC!$B$12)</f>
        <v>0</v>
      </c>
      <c r="E12" s="355">
        <f>VN!E25*(1-CMVMC!$B$12)</f>
        <v>0</v>
      </c>
      <c r="F12" s="355">
        <f>VN!F25*(1-CMVMC!$B$12)</f>
        <v>0</v>
      </c>
      <c r="G12" s="355">
        <f>VN!G25*(1-CMVMC!$B$12)</f>
        <v>0</v>
      </c>
      <c r="H12" s="355">
        <f>VN!H25*(1-CMVMC!$B$12)</f>
        <v>0</v>
      </c>
      <c r="I12" s="67"/>
    </row>
    <row r="13" spans="1:9">
      <c r="A13" s="78" t="s">
        <v>110</v>
      </c>
      <c r="B13" s="82"/>
      <c r="C13" s="115">
        <f t="shared" ref="C13:H13" si="1">+C15+C14</f>
        <v>0</v>
      </c>
      <c r="D13" s="115">
        <f t="shared" si="1"/>
        <v>0</v>
      </c>
      <c r="E13" s="115">
        <f t="shared" si="1"/>
        <v>45985.68</v>
      </c>
      <c r="F13" s="115">
        <f t="shared" si="1"/>
        <v>140716.1808</v>
      </c>
      <c r="G13" s="115">
        <f t="shared" si="1"/>
        <v>378147.67509600002</v>
      </c>
      <c r="H13" s="115">
        <f t="shared" si="1"/>
        <v>717928.54228079994</v>
      </c>
      <c r="I13" s="67"/>
    </row>
    <row r="14" spans="1:9">
      <c r="A14" s="81" t="str">
        <f>+VN!A33</f>
        <v>Produto A *</v>
      </c>
      <c r="B14" s="30">
        <v>0.15</v>
      </c>
      <c r="C14" s="355">
        <f>VN!C33*(1-CMVMC!$B$14)</f>
        <v>0</v>
      </c>
      <c r="D14" s="355">
        <f>VN!D33*(1-CMVMC!$B$14)</f>
        <v>0</v>
      </c>
      <c r="E14" s="355">
        <f>VN!E33*(1-CMVMC!$B$14)</f>
        <v>45985.68</v>
      </c>
      <c r="F14" s="355">
        <f>VN!F33*(1-CMVMC!$B$14)</f>
        <v>140716.1808</v>
      </c>
      <c r="G14" s="355">
        <f>VN!G33*(1-CMVMC!$B$14)</f>
        <v>287061.00883200002</v>
      </c>
      <c r="H14" s="355">
        <f>VN!H33*(1-CMVMC!$B$14)</f>
        <v>439203.34351296001</v>
      </c>
      <c r="I14" s="67"/>
    </row>
    <row r="15" spans="1:9">
      <c r="A15" s="81" t="str">
        <f>+VN!A37</f>
        <v>Produto B *</v>
      </c>
      <c r="B15" s="30">
        <v>0.15</v>
      </c>
      <c r="C15" s="355">
        <f>VN!C37*(1-CMVMC!$B$15)</f>
        <v>0</v>
      </c>
      <c r="D15" s="355">
        <f>VN!D37*(1-CMVMC!$B$15)</f>
        <v>0</v>
      </c>
      <c r="E15" s="355">
        <f>VN!E37*(1-CMVMC!$B$15)</f>
        <v>0</v>
      </c>
      <c r="F15" s="355">
        <f>VN!F37*(1-CMVMC!$B$15)</f>
        <v>0</v>
      </c>
      <c r="G15" s="355">
        <f>VN!G37*(1-CMVMC!$B$15)</f>
        <v>91086.666264000014</v>
      </c>
      <c r="H15" s="355">
        <f>VN!H37*(1-CMVMC!$B$15)</f>
        <v>278725.19876783999</v>
      </c>
      <c r="I15" s="67"/>
    </row>
    <row r="16" spans="1:9" ht="14.25" thickBot="1">
      <c r="A16" s="455" t="s">
        <v>111</v>
      </c>
      <c r="B16" s="455"/>
      <c r="C16" s="356">
        <f t="shared" ref="C16:H16" si="2">+C8+C13</f>
        <v>21250</v>
      </c>
      <c r="D16" s="356">
        <f t="shared" si="2"/>
        <v>65025</v>
      </c>
      <c r="E16" s="356">
        <f t="shared" si="2"/>
        <v>128892.55499999999</v>
      </c>
      <c r="F16" s="356">
        <f t="shared" si="2"/>
        <v>262602.55215</v>
      </c>
      <c r="G16" s="356">
        <f t="shared" si="2"/>
        <v>541402.1230275</v>
      </c>
      <c r="H16" s="356">
        <f t="shared" si="2"/>
        <v>955155.82898461493</v>
      </c>
      <c r="I16" s="67"/>
    </row>
    <row r="17" spans="1:9" ht="14.25" thickTop="1">
      <c r="A17" s="60"/>
      <c r="B17" s="60"/>
      <c r="C17" s="61"/>
      <c r="D17" s="61"/>
      <c r="E17" s="61"/>
      <c r="F17" s="61"/>
      <c r="G17" s="61"/>
      <c r="H17" s="61"/>
      <c r="I17" s="67"/>
    </row>
    <row r="18" spans="1:9" ht="14.25" thickBot="1">
      <c r="A18" s="62" t="s">
        <v>102</v>
      </c>
      <c r="B18" s="410">
        <f>+Pressupostos!B19</f>
        <v>0.23</v>
      </c>
      <c r="C18" s="83">
        <f t="shared" ref="C18:H18" si="3">+C8*$B$18</f>
        <v>4887.5</v>
      </c>
      <c r="D18" s="83">
        <f t="shared" si="3"/>
        <v>14955.75</v>
      </c>
      <c r="E18" s="83">
        <f t="shared" si="3"/>
        <v>19068.581249999999</v>
      </c>
      <c r="F18" s="83">
        <f t="shared" si="3"/>
        <v>28033.865410500002</v>
      </c>
      <c r="G18" s="83">
        <f t="shared" si="3"/>
        <v>37548.523024245005</v>
      </c>
      <c r="H18" s="83">
        <f t="shared" si="3"/>
        <v>54562.275941877451</v>
      </c>
      <c r="I18" s="67"/>
    </row>
    <row r="19" spans="1:9" ht="14.25" thickTop="1">
      <c r="A19" s="57"/>
      <c r="B19" s="57"/>
      <c r="C19" s="57"/>
      <c r="D19" s="57"/>
      <c r="E19" s="57"/>
      <c r="F19" s="57"/>
      <c r="G19" s="57"/>
      <c r="H19" s="57"/>
      <c r="I19" s="67"/>
    </row>
    <row r="20" spans="1:9" ht="14.25" thickBot="1">
      <c r="A20" s="455" t="s">
        <v>112</v>
      </c>
      <c r="B20" s="455"/>
      <c r="C20" s="34">
        <f t="shared" ref="C20:H20" si="4">+C16+C18</f>
        <v>26137.5</v>
      </c>
      <c r="D20" s="34">
        <f t="shared" si="4"/>
        <v>79980.75</v>
      </c>
      <c r="E20" s="34">
        <f t="shared" si="4"/>
        <v>147961.13624999998</v>
      </c>
      <c r="F20" s="34">
        <f t="shared" si="4"/>
        <v>290636.41756049998</v>
      </c>
      <c r="G20" s="34">
        <f t="shared" si="4"/>
        <v>578950.64605174505</v>
      </c>
      <c r="H20" s="34">
        <f t="shared" si="4"/>
        <v>1009718.1049264923</v>
      </c>
      <c r="I20" s="67"/>
    </row>
    <row r="21" spans="1:9" ht="14.25" thickTop="1">
      <c r="A21" s="57"/>
      <c r="B21" s="57"/>
      <c r="C21" s="57"/>
      <c r="D21" s="57"/>
      <c r="E21" s="57"/>
      <c r="F21" s="57"/>
      <c r="G21" s="57"/>
      <c r="H21" s="57"/>
      <c r="I21" s="67"/>
    </row>
    <row r="22" spans="1:9">
      <c r="A22" s="57"/>
      <c r="B22" s="57"/>
      <c r="C22" s="57"/>
      <c r="D22" s="57"/>
      <c r="E22" s="57"/>
      <c r="F22" s="57"/>
      <c r="G22" s="57"/>
      <c r="H22" s="57"/>
      <c r="I22" s="67"/>
    </row>
    <row r="23" spans="1:9">
      <c r="A23" s="84" t="s">
        <v>113</v>
      </c>
      <c r="B23" s="57"/>
      <c r="C23" s="57"/>
      <c r="D23" s="57"/>
      <c r="E23" s="57"/>
      <c r="F23" s="57"/>
      <c r="G23" s="57"/>
      <c r="H23" s="57"/>
      <c r="I23" s="67"/>
    </row>
    <row r="24" spans="1:9">
      <c r="A24" s="85" t="s">
        <v>114</v>
      </c>
      <c r="B24" s="57"/>
      <c r="C24" s="57"/>
      <c r="D24" s="57"/>
      <c r="E24" s="57"/>
      <c r="F24" s="57"/>
      <c r="G24" s="57"/>
      <c r="H24" s="57"/>
      <c r="I24" s="67"/>
    </row>
    <row r="25" spans="1:9">
      <c r="A25" s="85" t="s">
        <v>115</v>
      </c>
      <c r="B25" s="57"/>
      <c r="C25" s="57"/>
      <c r="D25" s="57"/>
      <c r="E25" s="57"/>
      <c r="F25" s="57"/>
      <c r="G25" s="57"/>
      <c r="H25" s="57"/>
      <c r="I25" s="67"/>
    </row>
    <row r="26" spans="1:9">
      <c r="A26" s="85" t="s">
        <v>116</v>
      </c>
      <c r="B26" s="57"/>
      <c r="C26" s="57"/>
      <c r="D26" s="57"/>
      <c r="E26" s="57"/>
      <c r="F26" s="57"/>
      <c r="G26" s="57"/>
      <c r="H26" s="57"/>
      <c r="I26" s="67"/>
    </row>
    <row r="27" spans="1:9">
      <c r="A27" s="85"/>
      <c r="B27" s="57"/>
      <c r="C27" s="57"/>
      <c r="D27" s="57"/>
      <c r="E27" s="57"/>
      <c r="F27" s="57"/>
      <c r="G27" s="57"/>
      <c r="H27" s="57"/>
      <c r="I27" s="67"/>
    </row>
    <row r="28" spans="1:9">
      <c r="A28" s="84" t="s">
        <v>117</v>
      </c>
      <c r="B28" s="57"/>
      <c r="C28" s="57"/>
      <c r="D28" s="57"/>
      <c r="E28" s="57"/>
      <c r="F28" s="57"/>
      <c r="G28" s="57"/>
      <c r="H28" s="57"/>
      <c r="I28" s="67"/>
    </row>
    <row r="29" spans="1:9">
      <c r="A29" s="63"/>
      <c r="B29" s="57"/>
      <c r="C29" s="57"/>
      <c r="D29" s="57"/>
      <c r="E29" s="57"/>
      <c r="F29" s="57"/>
      <c r="G29" s="57"/>
      <c r="H29" s="57"/>
      <c r="I29" s="67"/>
    </row>
    <row r="30" spans="1:9">
      <c r="A30" s="86"/>
      <c r="B30" s="67"/>
      <c r="C30" s="67"/>
      <c r="D30" s="67"/>
      <c r="E30" s="67"/>
      <c r="F30" s="67"/>
      <c r="G30" s="67"/>
      <c r="H30" s="67"/>
    </row>
    <row r="31" spans="1:9">
      <c r="A31" s="67"/>
      <c r="B31" s="67"/>
      <c r="C31" s="67"/>
      <c r="D31" s="67"/>
      <c r="E31" s="67"/>
      <c r="F31" s="67"/>
      <c r="G31" s="67"/>
      <c r="H31" s="67"/>
    </row>
    <row r="32" spans="1:9">
      <c r="A32" s="67"/>
      <c r="B32" s="67"/>
      <c r="C32" s="67"/>
      <c r="D32" s="67"/>
      <c r="E32" s="67"/>
      <c r="F32" s="67"/>
      <c r="G32" s="67"/>
      <c r="H32" s="67"/>
    </row>
    <row r="33" spans="1:8">
      <c r="A33" s="67"/>
      <c r="B33" s="67"/>
      <c r="C33" s="67"/>
      <c r="D33" s="67"/>
      <c r="E33" s="67"/>
      <c r="F33" s="67"/>
      <c r="G33" s="67"/>
      <c r="H33" s="67"/>
    </row>
    <row r="34" spans="1:8">
      <c r="A34" s="67"/>
      <c r="B34" s="67"/>
      <c r="C34" s="67"/>
      <c r="D34" s="67"/>
      <c r="E34" s="67"/>
      <c r="F34" s="67"/>
      <c r="G34" s="67"/>
      <c r="H34" s="67"/>
    </row>
    <row r="35" spans="1:8">
      <c r="A35" s="67"/>
      <c r="B35" s="67"/>
      <c r="C35" s="67"/>
      <c r="D35" s="67"/>
      <c r="E35" s="67"/>
      <c r="F35" s="67"/>
      <c r="G35" s="67"/>
      <c r="H35" s="67"/>
    </row>
    <row r="36" spans="1:8">
      <c r="A36" s="67"/>
      <c r="B36" s="67"/>
      <c r="C36" s="67"/>
      <c r="D36" s="67"/>
      <c r="E36" s="67"/>
      <c r="F36" s="67"/>
      <c r="G36" s="67"/>
      <c r="H36" s="67"/>
    </row>
    <row r="37" spans="1:8">
      <c r="A37" s="67"/>
      <c r="B37" s="67"/>
      <c r="C37" s="67"/>
      <c r="D37" s="67"/>
      <c r="E37" s="67"/>
      <c r="F37" s="67"/>
      <c r="G37" s="67"/>
      <c r="H37" s="67"/>
    </row>
    <row r="38" spans="1:8">
      <c r="A38" s="67"/>
      <c r="B38" s="67"/>
      <c r="C38" s="67"/>
      <c r="D38" s="67"/>
      <c r="E38" s="67"/>
      <c r="F38" s="67"/>
      <c r="G38" s="67"/>
      <c r="H38" s="67"/>
    </row>
    <row r="39" spans="1:8">
      <c r="A39" s="67"/>
      <c r="B39" s="67"/>
      <c r="C39" s="67"/>
      <c r="D39" s="67"/>
      <c r="E39" s="67"/>
      <c r="F39" s="67"/>
      <c r="G39" s="67"/>
      <c r="H39" s="67"/>
    </row>
    <row r="40" spans="1:8">
      <c r="A40" s="67"/>
      <c r="B40" s="67"/>
      <c r="C40" s="67"/>
      <c r="D40" s="67"/>
      <c r="E40" s="67"/>
      <c r="F40" s="67"/>
      <c r="G40" s="67"/>
      <c r="H40" s="67"/>
    </row>
    <row r="41" spans="1:8">
      <c r="A41" s="67"/>
      <c r="B41" s="67"/>
      <c r="C41" s="67"/>
      <c r="D41" s="67"/>
      <c r="E41" s="67"/>
      <c r="F41" s="67"/>
      <c r="G41" s="67"/>
      <c r="H41" s="67"/>
    </row>
    <row r="42" spans="1:8">
      <c r="A42" s="67"/>
      <c r="B42" s="67"/>
      <c r="C42" s="67"/>
      <c r="D42" s="67"/>
      <c r="E42" s="67"/>
      <c r="F42" s="67"/>
      <c r="G42" s="67"/>
      <c r="H42" s="67"/>
    </row>
    <row r="43" spans="1:8">
      <c r="A43" s="67"/>
      <c r="B43" s="67"/>
      <c r="C43" s="67"/>
      <c r="D43" s="67"/>
      <c r="E43" s="67"/>
      <c r="F43" s="67"/>
      <c r="G43" s="67"/>
      <c r="H43" s="67"/>
    </row>
    <row r="44" spans="1:8">
      <c r="A44" s="67"/>
      <c r="B44" s="67"/>
      <c r="C44" s="67"/>
      <c r="D44" s="67"/>
      <c r="E44" s="67"/>
      <c r="F44" s="67"/>
      <c r="G44" s="67"/>
      <c r="H44" s="67"/>
    </row>
    <row r="45" spans="1:8">
      <c r="A45" s="67"/>
      <c r="B45" s="67"/>
      <c r="C45" s="67"/>
      <c r="D45" s="67"/>
      <c r="E45" s="67"/>
      <c r="F45" s="67"/>
      <c r="G45" s="67"/>
      <c r="H45" s="67"/>
    </row>
    <row r="46" spans="1:8">
      <c r="A46" s="67"/>
      <c r="B46" s="67"/>
      <c r="C46" s="67"/>
      <c r="D46" s="67"/>
      <c r="E46" s="67"/>
      <c r="F46" s="67"/>
      <c r="G46" s="67"/>
      <c r="H46" s="67"/>
    </row>
    <row r="47" spans="1:8">
      <c r="A47" s="67"/>
      <c r="B47" s="67"/>
      <c r="C47" s="67"/>
      <c r="D47" s="67"/>
      <c r="E47" s="67"/>
      <c r="F47" s="67"/>
      <c r="G47" s="67"/>
      <c r="H47" s="67"/>
    </row>
    <row r="48" spans="1:8">
      <c r="A48" s="67"/>
      <c r="B48" s="67"/>
      <c r="C48" s="67"/>
      <c r="D48" s="67"/>
      <c r="E48" s="67"/>
      <c r="F48" s="67"/>
      <c r="G48" s="67"/>
      <c r="H48" s="67"/>
    </row>
    <row r="49" spans="1:8">
      <c r="A49" s="67"/>
      <c r="B49" s="67"/>
      <c r="C49" s="67"/>
      <c r="D49" s="67"/>
      <c r="E49" s="67"/>
      <c r="F49" s="67"/>
      <c r="G49" s="67"/>
      <c r="H49" s="67"/>
    </row>
    <row r="50" spans="1:8">
      <c r="A50" s="67"/>
      <c r="B50" s="67"/>
      <c r="C50" s="67"/>
      <c r="D50" s="67"/>
      <c r="E50" s="67"/>
      <c r="F50" s="67"/>
      <c r="G50" s="67"/>
      <c r="H50" s="67"/>
    </row>
    <row r="51" spans="1:8">
      <c r="A51" s="67"/>
      <c r="B51" s="67"/>
      <c r="C51" s="67"/>
      <c r="D51" s="67"/>
      <c r="E51" s="67"/>
      <c r="F51" s="67"/>
      <c r="G51" s="67"/>
      <c r="H51" s="67"/>
    </row>
    <row r="52" spans="1:8">
      <c r="A52" s="67"/>
      <c r="B52" s="67"/>
      <c r="C52" s="67"/>
      <c r="D52" s="67"/>
      <c r="E52" s="67"/>
      <c r="F52" s="67"/>
      <c r="G52" s="67"/>
      <c r="H52" s="67"/>
    </row>
    <row r="53" spans="1:8">
      <c r="A53" s="67"/>
      <c r="B53" s="67"/>
      <c r="C53" s="67"/>
      <c r="D53" s="67"/>
      <c r="E53" s="67"/>
      <c r="F53" s="67"/>
      <c r="G53" s="67"/>
      <c r="H53" s="67"/>
    </row>
    <row r="54" spans="1:8">
      <c r="A54" s="67"/>
      <c r="B54" s="67"/>
      <c r="C54" s="67"/>
      <c r="D54" s="67"/>
      <c r="E54" s="67"/>
      <c r="F54" s="67"/>
      <c r="G54" s="67"/>
      <c r="H54" s="67"/>
    </row>
    <row r="55" spans="1:8">
      <c r="A55" s="67"/>
      <c r="B55" s="67"/>
      <c r="C55" s="67"/>
      <c r="D55" s="67"/>
      <c r="E55" s="67"/>
      <c r="F55" s="67"/>
      <c r="G55" s="67"/>
      <c r="H55" s="67"/>
    </row>
    <row r="56" spans="1:8">
      <c r="A56" s="67"/>
      <c r="B56" s="67"/>
      <c r="C56" s="67"/>
      <c r="D56" s="67"/>
      <c r="E56" s="67"/>
      <c r="F56" s="67"/>
      <c r="G56" s="67"/>
      <c r="H56" s="67"/>
    </row>
    <row r="57" spans="1:8">
      <c r="A57" s="67"/>
      <c r="B57" s="67"/>
      <c r="C57" s="67"/>
      <c r="D57" s="67"/>
      <c r="E57" s="67"/>
      <c r="F57" s="67"/>
      <c r="G57" s="67"/>
      <c r="H57" s="67"/>
    </row>
    <row r="58" spans="1:8">
      <c r="A58" s="67"/>
      <c r="B58" s="67"/>
      <c r="C58" s="67"/>
      <c r="D58" s="67"/>
      <c r="E58" s="67"/>
      <c r="F58" s="67"/>
      <c r="G58" s="67"/>
      <c r="H58" s="67"/>
    </row>
    <row r="59" spans="1:8">
      <c r="A59" s="67"/>
      <c r="B59" s="67"/>
      <c r="C59" s="67"/>
      <c r="D59" s="67"/>
      <c r="E59" s="67"/>
      <c r="F59" s="67"/>
      <c r="G59" s="67"/>
      <c r="H59" s="67"/>
    </row>
    <row r="60" spans="1:8">
      <c r="A60" s="67"/>
      <c r="B60" s="67"/>
      <c r="C60" s="67"/>
      <c r="D60" s="67"/>
      <c r="E60" s="67"/>
      <c r="F60" s="67"/>
      <c r="G60" s="67"/>
      <c r="H60" s="67"/>
    </row>
    <row r="61" spans="1:8">
      <c r="A61" s="67"/>
      <c r="B61" s="67"/>
      <c r="C61" s="67"/>
      <c r="D61" s="67"/>
      <c r="E61" s="67"/>
      <c r="F61" s="67"/>
      <c r="G61" s="67"/>
      <c r="H61" s="67"/>
    </row>
    <row r="62" spans="1:8">
      <c r="A62" s="67"/>
      <c r="B62" s="67"/>
      <c r="C62" s="67"/>
      <c r="D62" s="67"/>
      <c r="E62" s="67"/>
      <c r="F62" s="67"/>
      <c r="G62" s="67"/>
      <c r="H62" s="67"/>
    </row>
    <row r="63" spans="1:8">
      <c r="A63" s="67"/>
      <c r="B63" s="67"/>
      <c r="C63" s="67"/>
      <c r="D63" s="67"/>
      <c r="E63" s="67"/>
      <c r="F63" s="67"/>
      <c r="G63" s="67"/>
      <c r="H63" s="67"/>
    </row>
    <row r="64" spans="1:8">
      <c r="A64" s="67"/>
      <c r="B64" s="67"/>
      <c r="C64" s="67"/>
      <c r="D64" s="67"/>
      <c r="E64" s="67"/>
      <c r="F64" s="67"/>
      <c r="G64" s="67"/>
      <c r="H64" s="67"/>
    </row>
    <row r="65" spans="1:8">
      <c r="A65" s="67"/>
      <c r="B65" s="67"/>
      <c r="C65" s="67"/>
      <c r="D65" s="67"/>
      <c r="E65" s="67"/>
      <c r="F65" s="67"/>
      <c r="G65" s="67"/>
      <c r="H65" s="67"/>
    </row>
    <row r="66" spans="1:8">
      <c r="A66" s="67"/>
      <c r="B66" s="67"/>
      <c r="C66" s="67"/>
      <c r="D66" s="67"/>
      <c r="E66" s="67"/>
      <c r="F66" s="67"/>
      <c r="G66" s="67"/>
      <c r="H66" s="67"/>
    </row>
    <row r="67" spans="1:8">
      <c r="A67" s="67"/>
      <c r="B67" s="67"/>
      <c r="C67" s="67"/>
      <c r="D67" s="67"/>
      <c r="E67" s="67"/>
      <c r="F67" s="67"/>
      <c r="G67" s="67"/>
      <c r="H67" s="67"/>
    </row>
    <row r="68" spans="1:8">
      <c r="A68" s="67"/>
      <c r="B68" s="67"/>
      <c r="C68" s="67"/>
      <c r="D68" s="67"/>
      <c r="E68" s="67"/>
      <c r="F68" s="67"/>
      <c r="G68" s="67"/>
      <c r="H68" s="67"/>
    </row>
    <row r="69" spans="1:8">
      <c r="A69" s="67"/>
      <c r="B69" s="67"/>
      <c r="C69" s="67"/>
      <c r="D69" s="67"/>
      <c r="E69" s="67"/>
      <c r="F69" s="67"/>
      <c r="G69" s="67"/>
      <c r="H69" s="67"/>
    </row>
    <row r="70" spans="1:8">
      <c r="A70" s="67"/>
      <c r="B70" s="67"/>
      <c r="C70" s="67"/>
      <c r="D70" s="67"/>
      <c r="E70" s="67"/>
      <c r="F70" s="67"/>
      <c r="G70" s="67"/>
      <c r="H70" s="67"/>
    </row>
    <row r="71" spans="1:8">
      <c r="A71" s="67"/>
      <c r="B71" s="67"/>
      <c r="C71" s="67"/>
      <c r="D71" s="67"/>
      <c r="E71" s="67"/>
      <c r="F71" s="67"/>
      <c r="G71" s="67"/>
      <c r="H71" s="67"/>
    </row>
    <row r="72" spans="1:8">
      <c r="A72" s="67"/>
      <c r="B72" s="67"/>
      <c r="C72" s="67"/>
      <c r="D72" s="67"/>
      <c r="E72" s="67"/>
      <c r="F72" s="67"/>
      <c r="G72" s="67"/>
      <c r="H72" s="67"/>
    </row>
    <row r="73" spans="1:8">
      <c r="A73" s="67"/>
      <c r="B73" s="67"/>
      <c r="C73" s="67"/>
      <c r="D73" s="67"/>
      <c r="E73" s="67"/>
      <c r="F73" s="67"/>
      <c r="G73" s="67"/>
      <c r="H73" s="67"/>
    </row>
    <row r="74" spans="1:8">
      <c r="A74" s="67"/>
      <c r="B74" s="67"/>
      <c r="C74" s="67"/>
      <c r="D74" s="67"/>
      <c r="E74" s="67"/>
      <c r="F74" s="67"/>
      <c r="G74" s="67"/>
      <c r="H74" s="67"/>
    </row>
    <row r="75" spans="1:8">
      <c r="A75" s="67"/>
      <c r="B75" s="67"/>
      <c r="C75" s="67"/>
      <c r="D75" s="67"/>
      <c r="E75" s="67"/>
      <c r="F75" s="67"/>
      <c r="G75" s="67"/>
      <c r="H75" s="67"/>
    </row>
    <row r="76" spans="1:8">
      <c r="A76" s="67"/>
      <c r="B76" s="67"/>
      <c r="C76" s="67"/>
      <c r="D76" s="67"/>
      <c r="E76" s="67"/>
      <c r="F76" s="67"/>
      <c r="G76" s="67"/>
      <c r="H76" s="67"/>
    </row>
    <row r="77" spans="1:8">
      <c r="A77" s="67"/>
      <c r="B77" s="67"/>
      <c r="C77" s="67"/>
      <c r="D77" s="67"/>
      <c r="E77" s="67"/>
      <c r="F77" s="67"/>
      <c r="G77" s="67"/>
      <c r="H77" s="67"/>
    </row>
    <row r="78" spans="1:8">
      <c r="A78" s="67"/>
      <c r="B78" s="67"/>
      <c r="C78" s="67"/>
      <c r="D78" s="67"/>
      <c r="E78" s="67"/>
      <c r="F78" s="67"/>
      <c r="G78" s="67"/>
      <c r="H78" s="67"/>
    </row>
    <row r="79" spans="1:8">
      <c r="A79" s="67"/>
      <c r="B79" s="67"/>
      <c r="C79" s="67"/>
      <c r="D79" s="67"/>
      <c r="E79" s="67"/>
      <c r="F79" s="67"/>
      <c r="G79" s="67"/>
      <c r="H79" s="67"/>
    </row>
    <row r="80" spans="1:8">
      <c r="A80" s="67"/>
      <c r="B80" s="67"/>
      <c r="C80" s="67"/>
      <c r="D80" s="67"/>
      <c r="E80" s="67"/>
      <c r="F80" s="67"/>
      <c r="G80" s="67"/>
      <c r="H80" s="67"/>
    </row>
    <row r="81" spans="1:8">
      <c r="A81" s="67"/>
      <c r="B81" s="67"/>
      <c r="C81" s="67"/>
      <c r="D81" s="67"/>
      <c r="E81" s="67"/>
      <c r="F81" s="67"/>
      <c r="G81" s="67"/>
      <c r="H81" s="67"/>
    </row>
    <row r="82" spans="1:8">
      <c r="A82" s="67"/>
      <c r="B82" s="67"/>
      <c r="C82" s="67"/>
      <c r="D82" s="67"/>
      <c r="E82" s="67"/>
      <c r="F82" s="67"/>
      <c r="G82" s="67"/>
      <c r="H82" s="67"/>
    </row>
    <row r="83" spans="1:8">
      <c r="A83" s="67"/>
      <c r="B83" s="67"/>
      <c r="C83" s="67"/>
      <c r="D83" s="67"/>
      <c r="E83" s="67"/>
      <c r="F83" s="67"/>
      <c r="G83" s="67"/>
      <c r="H83" s="67"/>
    </row>
    <row r="84" spans="1:8">
      <c r="A84" s="67"/>
      <c r="B84" s="67"/>
      <c r="C84" s="67"/>
      <c r="D84" s="67"/>
      <c r="E84" s="67"/>
      <c r="F84" s="67"/>
      <c r="G84" s="67"/>
      <c r="H84" s="67"/>
    </row>
    <row r="85" spans="1:8">
      <c r="A85" s="67"/>
      <c r="B85" s="67"/>
      <c r="C85" s="67"/>
      <c r="D85" s="67"/>
      <c r="E85" s="67"/>
      <c r="F85" s="67"/>
      <c r="G85" s="67"/>
      <c r="H85" s="67"/>
    </row>
    <row r="86" spans="1:8">
      <c r="A86" s="67"/>
      <c r="B86" s="67"/>
      <c r="C86" s="67"/>
      <c r="D86" s="67"/>
      <c r="E86" s="67"/>
      <c r="F86" s="67"/>
      <c r="G86" s="67"/>
      <c r="H86" s="67"/>
    </row>
    <row r="87" spans="1:8">
      <c r="A87" s="67"/>
      <c r="B87" s="67"/>
      <c r="C87" s="67"/>
      <c r="D87" s="67"/>
      <c r="E87" s="67"/>
      <c r="F87" s="67"/>
      <c r="G87" s="67"/>
      <c r="H87" s="67"/>
    </row>
    <row r="88" spans="1:8">
      <c r="A88" s="67"/>
      <c r="B88" s="67"/>
      <c r="C88" s="67"/>
      <c r="D88" s="67"/>
      <c r="E88" s="67"/>
      <c r="F88" s="67"/>
      <c r="G88" s="67"/>
      <c r="H88" s="67"/>
    </row>
    <row r="89" spans="1:8">
      <c r="A89" s="67"/>
      <c r="B89" s="67"/>
      <c r="C89" s="67"/>
      <c r="D89" s="67"/>
      <c r="E89" s="67"/>
      <c r="F89" s="67"/>
      <c r="G89" s="67"/>
      <c r="H89" s="67"/>
    </row>
    <row r="90" spans="1:8">
      <c r="A90" s="67"/>
      <c r="B90" s="67"/>
      <c r="C90" s="67"/>
      <c r="D90" s="67"/>
      <c r="E90" s="67"/>
      <c r="F90" s="67"/>
      <c r="G90" s="67"/>
      <c r="H90" s="67"/>
    </row>
    <row r="91" spans="1:8">
      <c r="A91" s="67"/>
      <c r="B91" s="67"/>
      <c r="C91" s="67"/>
      <c r="D91" s="67"/>
      <c r="E91" s="67"/>
      <c r="F91" s="67"/>
      <c r="G91" s="67"/>
      <c r="H91" s="67"/>
    </row>
    <row r="92" spans="1:8">
      <c r="A92" s="67"/>
      <c r="B92" s="67"/>
      <c r="C92" s="67"/>
      <c r="D92" s="67"/>
      <c r="E92" s="67"/>
      <c r="F92" s="67"/>
      <c r="G92" s="67"/>
      <c r="H92" s="67"/>
    </row>
    <row r="93" spans="1:8">
      <c r="A93" s="67"/>
      <c r="B93" s="67"/>
      <c r="C93" s="67"/>
      <c r="D93" s="67"/>
      <c r="E93" s="67"/>
      <c r="F93" s="67"/>
      <c r="G93" s="67"/>
      <c r="H93" s="67"/>
    </row>
    <row r="94" spans="1:8">
      <c r="A94" s="67"/>
      <c r="B94" s="67"/>
      <c r="C94" s="67"/>
      <c r="D94" s="67"/>
      <c r="E94" s="67"/>
      <c r="F94" s="67"/>
      <c r="G94" s="67"/>
      <c r="H94" s="67"/>
    </row>
    <row r="95" spans="1:8">
      <c r="A95" s="67"/>
      <c r="B95" s="67"/>
      <c r="C95" s="67"/>
      <c r="D95" s="67"/>
      <c r="E95" s="67"/>
      <c r="F95" s="67"/>
      <c r="G95" s="67"/>
      <c r="H95" s="67"/>
    </row>
    <row r="96" spans="1:8">
      <c r="A96" s="67"/>
      <c r="B96" s="67"/>
      <c r="C96" s="67"/>
      <c r="D96" s="67"/>
      <c r="E96" s="67"/>
      <c r="F96" s="67"/>
      <c r="G96" s="67"/>
      <c r="H96" s="67"/>
    </row>
    <row r="97" spans="1:8">
      <c r="A97" s="67"/>
      <c r="B97" s="67"/>
      <c r="C97" s="67"/>
      <c r="D97" s="67"/>
      <c r="E97" s="67"/>
      <c r="F97" s="67"/>
      <c r="G97" s="67"/>
      <c r="H97" s="67"/>
    </row>
    <row r="98" spans="1:8">
      <c r="A98" s="67"/>
      <c r="B98" s="67"/>
      <c r="C98" s="67"/>
      <c r="D98" s="67"/>
      <c r="E98" s="67"/>
      <c r="F98" s="67"/>
      <c r="G98" s="67"/>
      <c r="H98" s="67"/>
    </row>
    <row r="99" spans="1:8">
      <c r="A99" s="67"/>
      <c r="B99" s="67"/>
      <c r="C99" s="67"/>
      <c r="D99" s="67"/>
      <c r="E99" s="67"/>
      <c r="F99" s="67"/>
      <c r="G99" s="67"/>
      <c r="H99" s="67"/>
    </row>
    <row r="100" spans="1:8">
      <c r="A100" s="67"/>
      <c r="B100" s="67"/>
      <c r="C100" s="67"/>
      <c r="D100" s="67"/>
      <c r="E100" s="67"/>
      <c r="F100" s="67"/>
      <c r="G100" s="67"/>
      <c r="H100" s="67"/>
    </row>
    <row r="101" spans="1:8">
      <c r="A101" s="67"/>
      <c r="B101" s="67"/>
      <c r="C101" s="67"/>
      <c r="D101" s="67"/>
      <c r="E101" s="67"/>
      <c r="F101" s="67"/>
      <c r="G101" s="67"/>
      <c r="H101" s="67"/>
    </row>
    <row r="102" spans="1:8">
      <c r="A102" s="67"/>
      <c r="B102" s="67"/>
      <c r="C102" s="67"/>
      <c r="D102" s="67"/>
      <c r="E102" s="67"/>
      <c r="F102" s="67"/>
      <c r="G102" s="67"/>
      <c r="H102" s="67"/>
    </row>
    <row r="103" spans="1:8">
      <c r="A103" s="67"/>
      <c r="B103" s="67"/>
      <c r="C103" s="67"/>
      <c r="D103" s="67"/>
      <c r="E103" s="67"/>
      <c r="F103" s="67"/>
      <c r="G103" s="67"/>
      <c r="H103" s="67"/>
    </row>
    <row r="104" spans="1:8">
      <c r="A104" s="67"/>
      <c r="B104" s="67"/>
      <c r="C104" s="67"/>
      <c r="D104" s="67"/>
      <c r="E104" s="67"/>
      <c r="F104" s="67"/>
      <c r="G104" s="67"/>
      <c r="H104" s="67"/>
    </row>
    <row r="105" spans="1:8">
      <c r="A105" s="67"/>
      <c r="B105" s="67"/>
      <c r="C105" s="67"/>
      <c r="D105" s="67"/>
      <c r="E105" s="67"/>
      <c r="F105" s="67"/>
      <c r="G105" s="67"/>
      <c r="H105" s="67"/>
    </row>
    <row r="106" spans="1:8">
      <c r="A106" s="67"/>
      <c r="B106" s="67"/>
      <c r="C106" s="67"/>
      <c r="D106" s="67"/>
      <c r="E106" s="67"/>
      <c r="F106" s="67"/>
      <c r="G106" s="67"/>
      <c r="H106" s="67"/>
    </row>
    <row r="107" spans="1:8">
      <c r="A107" s="67"/>
      <c r="B107" s="67"/>
      <c r="C107" s="67"/>
      <c r="D107" s="67"/>
      <c r="E107" s="67"/>
      <c r="F107" s="67"/>
      <c r="G107" s="67"/>
      <c r="H107" s="67"/>
    </row>
    <row r="108" spans="1:8">
      <c r="A108" s="67"/>
      <c r="B108" s="67"/>
      <c r="C108" s="67"/>
      <c r="D108" s="67"/>
      <c r="E108" s="67"/>
      <c r="F108" s="67"/>
      <c r="G108" s="67"/>
      <c r="H108" s="67"/>
    </row>
    <row r="109" spans="1:8">
      <c r="A109" s="67"/>
      <c r="B109" s="67"/>
      <c r="C109" s="67"/>
      <c r="D109" s="67"/>
      <c r="E109" s="67"/>
      <c r="F109" s="67"/>
      <c r="G109" s="67"/>
      <c r="H109" s="67"/>
    </row>
    <row r="110" spans="1:8">
      <c r="A110" s="67"/>
      <c r="B110" s="67"/>
      <c r="C110" s="67"/>
      <c r="D110" s="67"/>
      <c r="E110" s="67"/>
      <c r="F110" s="67"/>
      <c r="G110" s="67"/>
      <c r="H110" s="67"/>
    </row>
    <row r="111" spans="1:8">
      <c r="A111" s="67"/>
      <c r="B111" s="67"/>
      <c r="C111" s="67"/>
      <c r="D111" s="67"/>
      <c r="E111" s="67"/>
      <c r="F111" s="67"/>
      <c r="G111" s="67"/>
      <c r="H111" s="67"/>
    </row>
    <row r="112" spans="1:8">
      <c r="A112" s="67"/>
      <c r="B112" s="67"/>
      <c r="C112" s="67"/>
      <c r="D112" s="67"/>
      <c r="E112" s="67"/>
      <c r="F112" s="67"/>
      <c r="G112" s="67"/>
      <c r="H112" s="67"/>
    </row>
    <row r="113" spans="1:8">
      <c r="A113" s="67"/>
      <c r="B113" s="67"/>
      <c r="C113" s="67"/>
      <c r="D113" s="67"/>
      <c r="E113" s="67"/>
      <c r="F113" s="67"/>
      <c r="G113" s="67"/>
      <c r="H113" s="67"/>
    </row>
    <row r="114" spans="1:8">
      <c r="A114" s="67"/>
      <c r="B114" s="67"/>
      <c r="C114" s="67"/>
      <c r="D114" s="67"/>
      <c r="E114" s="67"/>
      <c r="F114" s="67"/>
      <c r="G114" s="67"/>
      <c r="H114" s="67"/>
    </row>
    <row r="115" spans="1:8">
      <c r="A115" s="67"/>
      <c r="B115" s="67"/>
      <c r="C115" s="67"/>
      <c r="D115" s="67"/>
      <c r="E115" s="67"/>
      <c r="F115" s="67"/>
      <c r="G115" s="67"/>
      <c r="H115" s="67"/>
    </row>
    <row r="116" spans="1:8">
      <c r="A116" s="67"/>
      <c r="B116" s="67"/>
      <c r="C116" s="67"/>
      <c r="D116" s="67"/>
      <c r="E116" s="67"/>
      <c r="F116" s="67"/>
      <c r="G116" s="67"/>
      <c r="H116" s="67"/>
    </row>
    <row r="117" spans="1:8">
      <c r="A117" s="67"/>
      <c r="B117" s="67"/>
      <c r="C117" s="67"/>
      <c r="D117" s="67"/>
      <c r="E117" s="67"/>
      <c r="F117" s="67"/>
      <c r="G117" s="67"/>
      <c r="H117" s="67"/>
    </row>
    <row r="118" spans="1:8">
      <c r="A118" s="67"/>
      <c r="B118" s="67"/>
      <c r="C118" s="67"/>
      <c r="D118" s="67"/>
      <c r="E118" s="67"/>
      <c r="F118" s="67"/>
      <c r="G118" s="67"/>
      <c r="H118" s="67"/>
    </row>
    <row r="119" spans="1:8">
      <c r="A119" s="67"/>
      <c r="B119" s="67"/>
      <c r="C119" s="67"/>
      <c r="D119" s="67"/>
      <c r="E119" s="67"/>
      <c r="F119" s="67"/>
      <c r="G119" s="67"/>
      <c r="H119" s="67"/>
    </row>
    <row r="120" spans="1:8">
      <c r="A120" s="67"/>
      <c r="B120" s="67"/>
      <c r="C120" s="67"/>
      <c r="D120" s="67"/>
      <c r="E120" s="67"/>
      <c r="F120" s="67"/>
      <c r="G120" s="67"/>
      <c r="H120" s="67"/>
    </row>
    <row r="121" spans="1:8">
      <c r="A121" s="67"/>
      <c r="B121" s="67"/>
      <c r="C121" s="67"/>
      <c r="D121" s="67"/>
      <c r="E121" s="67"/>
      <c r="F121" s="67"/>
      <c r="G121" s="67"/>
      <c r="H121" s="67"/>
    </row>
    <row r="122" spans="1:8">
      <c r="A122" s="67"/>
      <c r="B122" s="67"/>
      <c r="C122" s="67"/>
      <c r="D122" s="67"/>
      <c r="E122" s="67"/>
      <c r="F122" s="67"/>
      <c r="G122" s="67"/>
      <c r="H122" s="67"/>
    </row>
    <row r="123" spans="1:8">
      <c r="A123" s="67"/>
      <c r="B123" s="67"/>
      <c r="C123" s="67"/>
      <c r="D123" s="67"/>
      <c r="E123" s="67"/>
      <c r="F123" s="67"/>
      <c r="G123" s="67"/>
      <c r="H123" s="67"/>
    </row>
    <row r="124" spans="1:8">
      <c r="A124" s="67"/>
      <c r="B124" s="67"/>
      <c r="C124" s="67"/>
      <c r="D124" s="67"/>
      <c r="E124" s="67"/>
      <c r="F124" s="67"/>
      <c r="G124" s="67"/>
      <c r="H124" s="67"/>
    </row>
    <row r="125" spans="1:8">
      <c r="A125" s="67"/>
      <c r="B125" s="67"/>
      <c r="C125" s="67"/>
      <c r="D125" s="67"/>
      <c r="E125" s="67"/>
      <c r="F125" s="67"/>
      <c r="G125" s="67"/>
      <c r="H125" s="67"/>
    </row>
    <row r="126" spans="1:8">
      <c r="A126" s="67"/>
      <c r="B126" s="67"/>
      <c r="C126" s="67"/>
      <c r="D126" s="67"/>
      <c r="E126" s="67"/>
      <c r="F126" s="67"/>
      <c r="G126" s="67"/>
      <c r="H126" s="67"/>
    </row>
    <row r="127" spans="1:8">
      <c r="A127" s="67"/>
      <c r="B127" s="67"/>
      <c r="C127" s="67"/>
      <c r="D127" s="67"/>
      <c r="E127" s="67"/>
      <c r="F127" s="67"/>
      <c r="G127" s="67"/>
      <c r="H127" s="67"/>
    </row>
    <row r="128" spans="1:8">
      <c r="A128" s="67"/>
      <c r="B128" s="67"/>
      <c r="C128" s="67"/>
      <c r="D128" s="67"/>
      <c r="E128" s="67"/>
      <c r="F128" s="67"/>
      <c r="G128" s="67"/>
      <c r="H128" s="67"/>
    </row>
    <row r="129" spans="1:8">
      <c r="A129" s="67"/>
      <c r="B129" s="67"/>
      <c r="C129" s="67"/>
      <c r="D129" s="67"/>
      <c r="E129" s="67"/>
      <c r="F129" s="67"/>
      <c r="G129" s="67"/>
      <c r="H129" s="67"/>
    </row>
    <row r="130" spans="1:8">
      <c r="A130" s="67"/>
      <c r="B130" s="67"/>
      <c r="C130" s="67"/>
      <c r="D130" s="67"/>
      <c r="E130" s="67"/>
      <c r="F130" s="67"/>
      <c r="G130" s="67"/>
      <c r="H130" s="67"/>
    </row>
    <row r="131" spans="1:8">
      <c r="A131" s="67"/>
      <c r="B131" s="67"/>
      <c r="C131" s="67"/>
      <c r="D131" s="67"/>
      <c r="E131" s="67"/>
      <c r="F131" s="67"/>
      <c r="G131" s="67"/>
      <c r="H131" s="67"/>
    </row>
    <row r="132" spans="1:8">
      <c r="A132" s="67"/>
      <c r="B132" s="67"/>
      <c r="C132" s="67"/>
      <c r="D132" s="67"/>
      <c r="E132" s="67"/>
      <c r="F132" s="67"/>
      <c r="G132" s="67"/>
      <c r="H132" s="67"/>
    </row>
    <row r="133" spans="1:8">
      <c r="A133" s="67"/>
      <c r="B133" s="67"/>
      <c r="C133" s="67"/>
      <c r="D133" s="67"/>
      <c r="E133" s="67"/>
      <c r="F133" s="67"/>
      <c r="G133" s="67"/>
      <c r="H133" s="67"/>
    </row>
    <row r="134" spans="1:8">
      <c r="A134" s="67"/>
      <c r="B134" s="67"/>
      <c r="C134" s="67"/>
      <c r="D134" s="67"/>
      <c r="E134" s="67"/>
      <c r="F134" s="67"/>
      <c r="G134" s="67"/>
      <c r="H134" s="67"/>
    </row>
    <row r="135" spans="1:8">
      <c r="A135" s="67"/>
      <c r="B135" s="67"/>
      <c r="C135" s="67"/>
      <c r="D135" s="67"/>
      <c r="E135" s="67"/>
      <c r="F135" s="67"/>
      <c r="G135" s="67"/>
      <c r="H135" s="67"/>
    </row>
    <row r="136" spans="1:8">
      <c r="A136" s="67"/>
      <c r="B136" s="67"/>
      <c r="C136" s="67"/>
      <c r="D136" s="67"/>
      <c r="E136" s="67"/>
      <c r="F136" s="67"/>
      <c r="G136" s="67"/>
      <c r="H136" s="67"/>
    </row>
    <row r="137" spans="1:8">
      <c r="A137" s="67"/>
      <c r="B137" s="67"/>
      <c r="C137" s="67"/>
      <c r="D137" s="67"/>
      <c r="E137" s="67"/>
      <c r="F137" s="67"/>
      <c r="G137" s="67"/>
      <c r="H137" s="67"/>
    </row>
    <row r="138" spans="1:8">
      <c r="A138" s="67"/>
      <c r="B138" s="67"/>
      <c r="C138" s="67"/>
      <c r="D138" s="67"/>
      <c r="E138" s="67"/>
      <c r="F138" s="67"/>
      <c r="G138" s="67"/>
      <c r="H138" s="67"/>
    </row>
    <row r="139" spans="1:8">
      <c r="A139" s="67"/>
      <c r="B139" s="67"/>
      <c r="C139" s="67"/>
      <c r="D139" s="67"/>
      <c r="E139" s="67"/>
      <c r="F139" s="67"/>
      <c r="G139" s="67"/>
      <c r="H139" s="67"/>
    </row>
    <row r="140" spans="1:8">
      <c r="A140" s="67"/>
      <c r="B140" s="67"/>
      <c r="C140" s="67"/>
      <c r="D140" s="67"/>
      <c r="E140" s="67"/>
      <c r="F140" s="67"/>
      <c r="G140" s="67"/>
      <c r="H140" s="67"/>
    </row>
  </sheetData>
  <sheetProtection password="8318" sheet="1" objects="1" scenarios="1"/>
  <mergeCells count="3">
    <mergeCell ref="A4:H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BF3D6-595D-43DB-8189-1BDD72BC0C3E}">
  <sheetPr codeName="Sheet4"/>
  <dimension ref="A1:K54"/>
  <sheetViews>
    <sheetView showGridLines="0" showZeros="0" topLeftCell="A16" zoomScaleNormal="100" workbookViewId="0">
      <selection activeCell="E36" sqref="E36"/>
    </sheetView>
  </sheetViews>
  <sheetFormatPr defaultColWidth="8.7109375" defaultRowHeight="12.75"/>
  <cols>
    <col min="1" max="1" width="29.7109375" style="67" customWidth="1"/>
    <col min="2" max="4" width="6.42578125" style="67" customWidth="1"/>
    <col min="5" max="5" width="11.85546875" style="67" customWidth="1"/>
    <col min="6" max="14" width="11.42578125" style="67" customWidth="1"/>
    <col min="15" max="16384" width="8.7109375" style="67"/>
  </cols>
  <sheetData>
    <row r="1" spans="1:11" ht="13.5">
      <c r="A1" s="57"/>
      <c r="B1" s="57"/>
      <c r="C1" s="57"/>
      <c r="D1" s="57"/>
      <c r="E1" s="47"/>
      <c r="F1" s="47"/>
      <c r="G1" s="47"/>
      <c r="H1" s="47"/>
      <c r="I1" s="47"/>
      <c r="J1" s="88" t="str">
        <f>+VN!G1</f>
        <v>Empresa:</v>
      </c>
      <c r="K1" s="89" t="str">
        <f>+Pressupostos!E1</f>
        <v>WAITR</v>
      </c>
    </row>
    <row r="2" spans="1:11">
      <c r="A2" s="51"/>
      <c r="B2" s="51"/>
      <c r="C2" s="51"/>
      <c r="D2" s="51"/>
      <c r="E2" s="47"/>
      <c r="F2" s="47"/>
      <c r="G2" s="47"/>
      <c r="H2" s="47"/>
      <c r="I2" s="47"/>
      <c r="J2" s="47"/>
      <c r="K2" s="52" t="str">
        <f>+Pressupostos!B9</f>
        <v>Euros</v>
      </c>
    </row>
    <row r="3" spans="1:11">
      <c r="A3" s="51"/>
      <c r="B3" s="51"/>
      <c r="C3" s="51"/>
      <c r="D3" s="51"/>
      <c r="E3" s="47"/>
      <c r="F3" s="47"/>
      <c r="G3" s="47"/>
      <c r="H3" s="47"/>
      <c r="I3" s="47"/>
      <c r="J3" s="47"/>
      <c r="K3" s="52"/>
    </row>
    <row r="4" spans="1:11" ht="15.75">
      <c r="A4" s="457" t="s">
        <v>118</v>
      </c>
      <c r="B4" s="457"/>
      <c r="C4" s="457"/>
      <c r="D4" s="457"/>
      <c r="E4" s="457"/>
      <c r="F4" s="457"/>
      <c r="G4" s="457"/>
      <c r="H4" s="457"/>
      <c r="I4" s="457"/>
      <c r="J4" s="457"/>
      <c r="K4" s="457"/>
    </row>
    <row r="5" spans="1:11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</row>
    <row r="6" spans="1:11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</row>
    <row r="7" spans="1:11">
      <c r="A7" s="55"/>
      <c r="B7" s="90"/>
      <c r="C7" s="90"/>
      <c r="D7" s="90"/>
      <c r="E7" s="76"/>
      <c r="F7" s="54">
        <f>+VN!C8</f>
        <v>2024</v>
      </c>
      <c r="G7" s="54">
        <f>+VN!D8</f>
        <v>2025</v>
      </c>
      <c r="H7" s="54">
        <f>+VN!E8</f>
        <v>2026</v>
      </c>
      <c r="I7" s="54">
        <f>+VN!F8</f>
        <v>2027</v>
      </c>
      <c r="J7" s="54">
        <f>+VN!G8</f>
        <v>2028</v>
      </c>
      <c r="K7" s="54">
        <f>+VN!H8</f>
        <v>2029</v>
      </c>
    </row>
    <row r="8" spans="1:11">
      <c r="A8" s="91" t="s">
        <v>119</v>
      </c>
      <c r="B8" s="92"/>
      <c r="C8" s="92"/>
      <c r="D8" s="92"/>
      <c r="E8" s="94"/>
      <c r="F8" s="32">
        <v>5</v>
      </c>
      <c r="G8" s="378">
        <v>12</v>
      </c>
      <c r="H8" s="98">
        <v>12</v>
      </c>
      <c r="I8" s="98">
        <v>12</v>
      </c>
      <c r="J8" s="98">
        <v>12</v>
      </c>
      <c r="K8" s="98">
        <v>12</v>
      </c>
    </row>
    <row r="9" spans="1:11">
      <c r="A9" s="91" t="s">
        <v>120</v>
      </c>
      <c r="B9" s="92"/>
      <c r="C9" s="92"/>
      <c r="D9" s="92"/>
      <c r="E9" s="94"/>
      <c r="F9" s="95">
        <v>0</v>
      </c>
      <c r="G9" s="28">
        <v>0.03</v>
      </c>
      <c r="H9" s="28">
        <v>0.03</v>
      </c>
      <c r="I9" s="28">
        <v>0.03</v>
      </c>
      <c r="J9" s="28">
        <v>0.03</v>
      </c>
      <c r="K9" s="28">
        <v>0.03</v>
      </c>
    </row>
    <row r="10" spans="1:11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</row>
    <row r="11" spans="1:11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</row>
    <row r="12" spans="1:11">
      <c r="A12" s="55"/>
      <c r="B12" s="54" t="s">
        <v>121</v>
      </c>
      <c r="C12" s="54" t="s">
        <v>122</v>
      </c>
      <c r="D12" s="54" t="s">
        <v>123</v>
      </c>
      <c r="E12" s="54" t="s">
        <v>124</v>
      </c>
      <c r="F12" s="54">
        <f>+VN!C8</f>
        <v>2024</v>
      </c>
      <c r="G12" s="54">
        <f>+VN!D8</f>
        <v>2025</v>
      </c>
      <c r="H12" s="54">
        <f>+VN!E8</f>
        <v>2026</v>
      </c>
      <c r="I12" s="54">
        <f>+VN!F8</f>
        <v>2027</v>
      </c>
      <c r="J12" s="54">
        <f>+VN!G8</f>
        <v>2028</v>
      </c>
      <c r="K12" s="54">
        <f>+VN!H8</f>
        <v>2029</v>
      </c>
    </row>
    <row r="13" spans="1:11">
      <c r="A13" s="96" t="s">
        <v>125</v>
      </c>
      <c r="B13" s="409">
        <f>Pressupostos!$B$20</f>
        <v>0.23</v>
      </c>
      <c r="C13" s="414">
        <f>100%-D13</f>
        <v>1</v>
      </c>
      <c r="D13" s="412"/>
      <c r="E13" s="341"/>
      <c r="F13" s="357">
        <f>E13*$F$8</f>
        <v>0</v>
      </c>
      <c r="G13" s="357">
        <f>+E13*$G$8*(1+$G$9)</f>
        <v>0</v>
      </c>
      <c r="H13" s="357">
        <f>+G13*(1+$H$9)</f>
        <v>0</v>
      </c>
      <c r="I13" s="357">
        <f>+H13*(1+$I$9)</f>
        <v>0</v>
      </c>
      <c r="J13" s="357">
        <f>+I13*(1+$J$9)</f>
        <v>0</v>
      </c>
      <c r="K13" s="357">
        <f>+J13*(1+$K$9)</f>
        <v>0</v>
      </c>
    </row>
    <row r="14" spans="1:11">
      <c r="A14" s="97" t="s">
        <v>126</v>
      </c>
      <c r="B14" s="413"/>
      <c r="C14" s="414"/>
      <c r="D14" s="413"/>
      <c r="E14" s="342"/>
      <c r="F14" s="358"/>
      <c r="G14" s="358"/>
      <c r="H14" s="358"/>
      <c r="I14" s="358"/>
      <c r="J14" s="358"/>
      <c r="K14" s="358"/>
    </row>
    <row r="15" spans="1:11">
      <c r="A15" s="285" t="s">
        <v>127</v>
      </c>
      <c r="B15" s="409">
        <f>Pressupostos!$B$20</f>
        <v>0.23</v>
      </c>
      <c r="C15" s="414">
        <f t="shared" ref="C15:C42" si="0">100%-D15</f>
        <v>1</v>
      </c>
      <c r="D15" s="412"/>
      <c r="E15" s="341">
        <v>0</v>
      </c>
      <c r="F15" s="357">
        <f t="shared" ref="F15:F42" si="1">E15*$F$8</f>
        <v>0</v>
      </c>
      <c r="G15" s="357">
        <f t="shared" ref="G15:G42" si="2">+E15*$G$8*(1+$G$9)</f>
        <v>0</v>
      </c>
      <c r="H15" s="357">
        <f t="shared" ref="H15:H20" si="3">+G15*(1+$H$9)</f>
        <v>0</v>
      </c>
      <c r="I15" s="357">
        <f t="shared" ref="I15:I42" si="4">+H15*(1+$I$9)</f>
        <v>0</v>
      </c>
      <c r="J15" s="357">
        <f t="shared" ref="J15:J42" si="5">+I15*(1+$J$9)</f>
        <v>0</v>
      </c>
      <c r="K15" s="357">
        <f t="shared" ref="K15:K42" si="6">+J15*(1+$K$9)</f>
        <v>0</v>
      </c>
    </row>
    <row r="16" spans="1:11">
      <c r="A16" s="285" t="s">
        <v>128</v>
      </c>
      <c r="B16" s="409">
        <f>Pressupostos!$B$20</f>
        <v>0.23</v>
      </c>
      <c r="C16" s="414">
        <f t="shared" si="0"/>
        <v>1</v>
      </c>
      <c r="D16" s="412"/>
      <c r="E16" s="341">
        <v>50</v>
      </c>
      <c r="F16" s="357">
        <f t="shared" si="1"/>
        <v>250</v>
      </c>
      <c r="G16" s="357">
        <f t="shared" si="2"/>
        <v>618</v>
      </c>
      <c r="H16" s="357">
        <f t="shared" si="3"/>
        <v>636.54</v>
      </c>
      <c r="I16" s="357">
        <f t="shared" si="4"/>
        <v>655.63620000000003</v>
      </c>
      <c r="J16" s="357">
        <f t="shared" si="5"/>
        <v>675.30528600000002</v>
      </c>
      <c r="K16" s="357">
        <f t="shared" si="6"/>
        <v>695.56444457999999</v>
      </c>
    </row>
    <row r="17" spans="1:11">
      <c r="A17" s="285" t="s">
        <v>129</v>
      </c>
      <c r="B17" s="409">
        <f>Pressupostos!$B$20</f>
        <v>0.23</v>
      </c>
      <c r="C17" s="414">
        <f t="shared" si="0"/>
        <v>1</v>
      </c>
      <c r="D17" s="412"/>
      <c r="E17" s="341"/>
      <c r="F17" s="357">
        <f t="shared" si="1"/>
        <v>0</v>
      </c>
      <c r="G17" s="357">
        <f t="shared" si="2"/>
        <v>0</v>
      </c>
      <c r="H17" s="357">
        <f t="shared" si="3"/>
        <v>0</v>
      </c>
      <c r="I17" s="357">
        <f>+H17*(1+$I$9)</f>
        <v>0</v>
      </c>
      <c r="J17" s="357">
        <f>+I17*(1+$J$9)</f>
        <v>0</v>
      </c>
      <c r="K17" s="357">
        <f>+J17*(1+$K$9)</f>
        <v>0</v>
      </c>
    </row>
    <row r="18" spans="1:11">
      <c r="A18" s="285" t="s">
        <v>130</v>
      </c>
      <c r="B18" s="409">
        <f>Pressupostos!$B$20</f>
        <v>0.23</v>
      </c>
      <c r="C18" s="414">
        <f t="shared" si="0"/>
        <v>1</v>
      </c>
      <c r="D18" s="412"/>
      <c r="E18" s="341"/>
      <c r="F18" s="357">
        <f t="shared" si="1"/>
        <v>0</v>
      </c>
      <c r="G18" s="357">
        <f t="shared" si="2"/>
        <v>0</v>
      </c>
      <c r="H18" s="357">
        <f t="shared" si="3"/>
        <v>0</v>
      </c>
      <c r="I18" s="357">
        <f>+H18*(1+$I$9)</f>
        <v>0</v>
      </c>
      <c r="J18" s="357">
        <f>+I18*(1+$J$9)</f>
        <v>0</v>
      </c>
      <c r="K18" s="357">
        <f>+J18*(1+$K$9)</f>
        <v>0</v>
      </c>
    </row>
    <row r="19" spans="1:11">
      <c r="A19" s="285" t="s">
        <v>131</v>
      </c>
      <c r="B19" s="409">
        <f>Pressupostos!$B$20</f>
        <v>0.23</v>
      </c>
      <c r="C19" s="414">
        <f t="shared" si="0"/>
        <v>0</v>
      </c>
      <c r="D19" s="412">
        <v>1</v>
      </c>
      <c r="E19" s="341">
        <f>+VN!C71*1%/12</f>
        <v>20.833333333333332</v>
      </c>
      <c r="F19" s="357">
        <f t="shared" si="1"/>
        <v>104.16666666666666</v>
      </c>
      <c r="G19" s="357">
        <f t="shared" si="2"/>
        <v>257.5</v>
      </c>
      <c r="H19" s="357">
        <f t="shared" si="3"/>
        <v>265.22500000000002</v>
      </c>
      <c r="I19" s="357">
        <f>+H19*(1+$I$9)</f>
        <v>273.18175000000002</v>
      </c>
      <c r="J19" s="357">
        <f>+I19*(1+$J$9)</f>
        <v>281.37720250000001</v>
      </c>
      <c r="K19" s="357">
        <f>+J19*(1+$K$9)</f>
        <v>289.81851857500004</v>
      </c>
    </row>
    <row r="20" spans="1:11">
      <c r="A20" s="285" t="s">
        <v>132</v>
      </c>
      <c r="B20" s="409">
        <f>Pressupostos!$B$20</f>
        <v>0.23</v>
      </c>
      <c r="C20" s="414">
        <f t="shared" si="0"/>
        <v>1</v>
      </c>
      <c r="D20" s="412"/>
      <c r="E20" s="341"/>
      <c r="F20" s="357">
        <f t="shared" si="1"/>
        <v>0</v>
      </c>
      <c r="G20" s="357">
        <f t="shared" si="2"/>
        <v>0</v>
      </c>
      <c r="H20" s="357">
        <f t="shared" si="3"/>
        <v>0</v>
      </c>
      <c r="I20" s="357">
        <f>+H20*(1+$I$9)</f>
        <v>0</v>
      </c>
      <c r="J20" s="357">
        <f>+I20*(1+$J$9)</f>
        <v>0</v>
      </c>
      <c r="K20" s="357">
        <f>+J20*(1+$K$9)</f>
        <v>0</v>
      </c>
    </row>
    <row r="21" spans="1:11">
      <c r="A21" s="97" t="s">
        <v>133</v>
      </c>
      <c r="B21" s="413"/>
      <c r="C21" s="414"/>
      <c r="D21" s="413"/>
      <c r="E21" s="342"/>
      <c r="F21" s="358"/>
      <c r="G21" s="358"/>
      <c r="H21" s="358"/>
      <c r="I21" s="358"/>
      <c r="J21" s="358"/>
      <c r="K21" s="358"/>
    </row>
    <row r="22" spans="1:11">
      <c r="A22" s="285" t="s">
        <v>134</v>
      </c>
      <c r="B22" s="409">
        <f>Pressupostos!$B$20</f>
        <v>0.23</v>
      </c>
      <c r="C22" s="414">
        <f t="shared" si="0"/>
        <v>1</v>
      </c>
      <c r="D22" s="412"/>
      <c r="E22" s="341">
        <v>30</v>
      </c>
      <c r="F22" s="357">
        <f t="shared" si="1"/>
        <v>150</v>
      </c>
      <c r="G22" s="357">
        <f t="shared" si="2"/>
        <v>370.8</v>
      </c>
      <c r="H22" s="357">
        <f>+G22*(1+$H$9)</f>
        <v>381.92400000000004</v>
      </c>
      <c r="I22" s="357">
        <f t="shared" si="4"/>
        <v>393.38172000000003</v>
      </c>
      <c r="J22" s="357">
        <f t="shared" si="5"/>
        <v>405.18317160000004</v>
      </c>
      <c r="K22" s="357">
        <f t="shared" si="6"/>
        <v>417.33866674800004</v>
      </c>
    </row>
    <row r="23" spans="1:11">
      <c r="A23" s="285" t="s">
        <v>135</v>
      </c>
      <c r="B23" s="409">
        <f>Pressupostos!$B$20</f>
        <v>0.23</v>
      </c>
      <c r="C23" s="414">
        <f t="shared" si="0"/>
        <v>1</v>
      </c>
      <c r="D23" s="412"/>
      <c r="E23" s="341">
        <v>15</v>
      </c>
      <c r="F23" s="357">
        <f t="shared" si="1"/>
        <v>75</v>
      </c>
      <c r="G23" s="357">
        <f t="shared" si="2"/>
        <v>185.4</v>
      </c>
      <c r="H23" s="357">
        <f>+G23*(1+$H$9)</f>
        <v>190.96200000000002</v>
      </c>
      <c r="I23" s="357">
        <f t="shared" si="4"/>
        <v>196.69086000000001</v>
      </c>
      <c r="J23" s="357">
        <f t="shared" si="5"/>
        <v>202.59158580000002</v>
      </c>
      <c r="K23" s="357">
        <f t="shared" si="6"/>
        <v>208.66933337400002</v>
      </c>
    </row>
    <row r="24" spans="1:11">
      <c r="A24" s="285" t="s">
        <v>136</v>
      </c>
      <c r="B24" s="409">
        <f>Pressupostos!$B$20</f>
        <v>0.23</v>
      </c>
      <c r="C24" s="414">
        <f t="shared" si="0"/>
        <v>1</v>
      </c>
      <c r="D24" s="412"/>
      <c r="E24" s="341">
        <v>10</v>
      </c>
      <c r="F24" s="357">
        <f t="shared" si="1"/>
        <v>50</v>
      </c>
      <c r="G24" s="357">
        <f t="shared" si="2"/>
        <v>123.60000000000001</v>
      </c>
      <c r="H24" s="357">
        <f>+G24*(1+$H$9)</f>
        <v>127.30800000000001</v>
      </c>
      <c r="I24" s="357">
        <f t="shared" si="4"/>
        <v>131.12724</v>
      </c>
      <c r="J24" s="357">
        <f t="shared" si="5"/>
        <v>135.06105719999999</v>
      </c>
      <c r="K24" s="357">
        <f t="shared" si="6"/>
        <v>139.112888916</v>
      </c>
    </row>
    <row r="25" spans="1:11">
      <c r="A25" s="285" t="s">
        <v>137</v>
      </c>
      <c r="B25" s="409">
        <f>Pressupostos!$B$20</f>
        <v>0.23</v>
      </c>
      <c r="C25" s="414">
        <f t="shared" si="0"/>
        <v>1</v>
      </c>
      <c r="D25" s="412"/>
      <c r="E25" s="341"/>
      <c r="F25" s="357">
        <f t="shared" si="1"/>
        <v>0</v>
      </c>
      <c r="G25" s="357">
        <f t="shared" si="2"/>
        <v>0</v>
      </c>
      <c r="H25" s="357">
        <f>+G25*(1+$H$9)</f>
        <v>0</v>
      </c>
      <c r="I25" s="357">
        <f t="shared" si="4"/>
        <v>0</v>
      </c>
      <c r="J25" s="357">
        <f t="shared" si="5"/>
        <v>0</v>
      </c>
      <c r="K25" s="357">
        <f t="shared" si="6"/>
        <v>0</v>
      </c>
    </row>
    <row r="26" spans="1:11">
      <c r="A26" s="97" t="s">
        <v>138</v>
      </c>
      <c r="B26" s="413"/>
      <c r="C26" s="414"/>
      <c r="D26" s="413"/>
      <c r="E26" s="342"/>
      <c r="F26" s="358"/>
      <c r="G26" s="358"/>
      <c r="H26" s="358"/>
      <c r="I26" s="358"/>
      <c r="J26" s="358"/>
      <c r="K26" s="358"/>
    </row>
    <row r="27" spans="1:11">
      <c r="A27" s="285" t="s">
        <v>139</v>
      </c>
      <c r="B27" s="409">
        <f>Pressupostos!$B$20</f>
        <v>0.23</v>
      </c>
      <c r="C27" s="414">
        <f t="shared" si="0"/>
        <v>1</v>
      </c>
      <c r="D27" s="412"/>
      <c r="E27" s="341">
        <v>50</v>
      </c>
      <c r="F27" s="357">
        <f t="shared" si="1"/>
        <v>250</v>
      </c>
      <c r="G27" s="357">
        <f t="shared" si="2"/>
        <v>618</v>
      </c>
      <c r="H27" s="357">
        <f>+G27*(1+$H$9)</f>
        <v>636.54</v>
      </c>
      <c r="I27" s="357">
        <f t="shared" si="4"/>
        <v>655.63620000000003</v>
      </c>
      <c r="J27" s="357">
        <f t="shared" si="5"/>
        <v>675.30528600000002</v>
      </c>
      <c r="K27" s="357">
        <f t="shared" si="6"/>
        <v>695.56444457999999</v>
      </c>
    </row>
    <row r="28" spans="1:11">
      <c r="A28" s="285" t="s">
        <v>140</v>
      </c>
      <c r="B28" s="409">
        <f>Pressupostos!$B$20</f>
        <v>0.23</v>
      </c>
      <c r="C28" s="414">
        <f t="shared" si="0"/>
        <v>1</v>
      </c>
      <c r="D28" s="412"/>
      <c r="E28" s="341">
        <v>30</v>
      </c>
      <c r="F28" s="357">
        <f t="shared" si="1"/>
        <v>150</v>
      </c>
      <c r="G28" s="357">
        <f t="shared" si="2"/>
        <v>370.8</v>
      </c>
      <c r="H28" s="357">
        <f>+G28*(1+$H$9)</f>
        <v>381.92400000000004</v>
      </c>
      <c r="I28" s="357">
        <f t="shared" si="4"/>
        <v>393.38172000000003</v>
      </c>
      <c r="J28" s="357">
        <f t="shared" si="5"/>
        <v>405.18317160000004</v>
      </c>
      <c r="K28" s="357">
        <f t="shared" si="6"/>
        <v>417.33866674800004</v>
      </c>
    </row>
    <row r="29" spans="1:11">
      <c r="A29" s="285" t="s">
        <v>141</v>
      </c>
      <c r="B29" s="409">
        <v>0.06</v>
      </c>
      <c r="C29" s="414">
        <f t="shared" si="0"/>
        <v>1</v>
      </c>
      <c r="D29" s="412"/>
      <c r="E29" s="341"/>
      <c r="F29" s="357">
        <f t="shared" si="1"/>
        <v>0</v>
      </c>
      <c r="G29" s="357">
        <f t="shared" si="2"/>
        <v>0</v>
      </c>
      <c r="H29" s="357">
        <f>+G29*(1+$H$9)</f>
        <v>0</v>
      </c>
      <c r="I29" s="357">
        <f t="shared" si="4"/>
        <v>0</v>
      </c>
      <c r="J29" s="357">
        <f t="shared" si="5"/>
        <v>0</v>
      </c>
      <c r="K29" s="357">
        <f t="shared" si="6"/>
        <v>0</v>
      </c>
    </row>
    <row r="30" spans="1:11">
      <c r="A30" s="97" t="s">
        <v>142</v>
      </c>
      <c r="B30" s="413"/>
      <c r="C30" s="414"/>
      <c r="D30" s="413"/>
      <c r="E30" s="342"/>
      <c r="F30" s="358"/>
      <c r="G30" s="358"/>
      <c r="H30" s="358"/>
      <c r="I30" s="358"/>
      <c r="J30" s="358"/>
      <c r="K30" s="358"/>
    </row>
    <row r="31" spans="1:11">
      <c r="A31" s="285" t="s">
        <v>143</v>
      </c>
      <c r="B31" s="409">
        <f>Pressupostos!$B$20</f>
        <v>0.23</v>
      </c>
      <c r="C31" s="414">
        <f t="shared" si="0"/>
        <v>1</v>
      </c>
      <c r="D31" s="412"/>
      <c r="E31" s="341"/>
      <c r="F31" s="357">
        <f t="shared" si="1"/>
        <v>0</v>
      </c>
      <c r="G31" s="357">
        <f t="shared" si="2"/>
        <v>0</v>
      </c>
      <c r="H31" s="357">
        <f>+G31*(1+$H$9)</f>
        <v>0</v>
      </c>
      <c r="I31" s="357">
        <f t="shared" si="4"/>
        <v>0</v>
      </c>
      <c r="J31" s="357">
        <f t="shared" si="5"/>
        <v>0</v>
      </c>
      <c r="K31" s="357">
        <f t="shared" si="6"/>
        <v>0</v>
      </c>
    </row>
    <row r="32" spans="1:11">
      <c r="A32" s="285" t="s">
        <v>144</v>
      </c>
      <c r="B32" s="409">
        <f>Pressupostos!$B$20</f>
        <v>0.23</v>
      </c>
      <c r="C32" s="414">
        <f t="shared" si="0"/>
        <v>0</v>
      </c>
      <c r="D32" s="412">
        <v>1</v>
      </c>
      <c r="E32" s="341">
        <v>0</v>
      </c>
      <c r="F32" s="357">
        <f t="shared" si="1"/>
        <v>0</v>
      </c>
      <c r="G32" s="357">
        <f t="shared" si="2"/>
        <v>0</v>
      </c>
      <c r="H32" s="357">
        <f>+G32*(1+$H$9)</f>
        <v>0</v>
      </c>
      <c r="I32" s="357">
        <f t="shared" si="4"/>
        <v>0</v>
      </c>
      <c r="J32" s="357">
        <f t="shared" si="5"/>
        <v>0</v>
      </c>
      <c r="K32" s="357">
        <f t="shared" si="6"/>
        <v>0</v>
      </c>
    </row>
    <row r="33" spans="1:11">
      <c r="A33" s="285" t="s">
        <v>145</v>
      </c>
      <c r="B33" s="409">
        <f>Pressupostos!$B$20</f>
        <v>0.23</v>
      </c>
      <c r="C33" s="414">
        <f t="shared" si="0"/>
        <v>1</v>
      </c>
      <c r="D33" s="412"/>
      <c r="E33" s="341"/>
      <c r="F33" s="357">
        <f t="shared" si="1"/>
        <v>0</v>
      </c>
      <c r="G33" s="357">
        <f t="shared" si="2"/>
        <v>0</v>
      </c>
      <c r="H33" s="357">
        <f>+G33*(1+$H$9)</f>
        <v>0</v>
      </c>
      <c r="I33" s="357">
        <f t="shared" si="4"/>
        <v>0</v>
      </c>
      <c r="J33" s="357">
        <f t="shared" si="5"/>
        <v>0</v>
      </c>
      <c r="K33" s="357">
        <f t="shared" si="6"/>
        <v>0</v>
      </c>
    </row>
    <row r="34" spans="1:11">
      <c r="A34" s="286" t="s">
        <v>146</v>
      </c>
      <c r="B34" s="413"/>
      <c r="C34" s="414"/>
      <c r="D34" s="413"/>
      <c r="E34" s="342"/>
      <c r="F34" s="358"/>
      <c r="G34" s="358"/>
      <c r="H34" s="358"/>
      <c r="I34" s="358"/>
      <c r="J34" s="358"/>
      <c r="K34" s="358"/>
    </row>
    <row r="35" spans="1:11">
      <c r="A35" s="285" t="s">
        <v>147</v>
      </c>
      <c r="B35" s="409">
        <f>Pressupostos!$B$20</f>
        <v>0.23</v>
      </c>
      <c r="C35" s="414">
        <f t="shared" si="0"/>
        <v>1</v>
      </c>
      <c r="D35" s="412"/>
      <c r="E35" s="341">
        <v>250</v>
      </c>
      <c r="F35" s="357">
        <f t="shared" si="1"/>
        <v>1250</v>
      </c>
      <c r="G35" s="357">
        <f t="shared" si="2"/>
        <v>3090</v>
      </c>
      <c r="H35" s="357">
        <f t="shared" ref="H35:H42" si="7">+G35*(1+$H$9)</f>
        <v>3182.7000000000003</v>
      </c>
      <c r="I35" s="357">
        <f t="shared" si="4"/>
        <v>3278.1810000000005</v>
      </c>
      <c r="J35" s="357">
        <f t="shared" si="5"/>
        <v>3376.5264300000008</v>
      </c>
      <c r="K35" s="357">
        <f t="shared" si="6"/>
        <v>3477.8222229000007</v>
      </c>
    </row>
    <row r="36" spans="1:11">
      <c r="A36" s="285" t="s">
        <v>148</v>
      </c>
      <c r="B36" s="409">
        <f>Pressupostos!$B$20</f>
        <v>0.23</v>
      </c>
      <c r="C36" s="414">
        <f t="shared" si="0"/>
        <v>1</v>
      </c>
      <c r="D36" s="412"/>
      <c r="E36" s="341"/>
      <c r="F36" s="357">
        <f t="shared" si="1"/>
        <v>0</v>
      </c>
      <c r="G36" s="357">
        <f t="shared" si="2"/>
        <v>0</v>
      </c>
      <c r="H36" s="357">
        <f t="shared" si="7"/>
        <v>0</v>
      </c>
      <c r="I36" s="357">
        <f t="shared" si="4"/>
        <v>0</v>
      </c>
      <c r="J36" s="357">
        <f t="shared" si="5"/>
        <v>0</v>
      </c>
      <c r="K36" s="357">
        <f t="shared" si="6"/>
        <v>0</v>
      </c>
    </row>
    <row r="37" spans="1:11">
      <c r="A37" s="285" t="s">
        <v>149</v>
      </c>
      <c r="B37" s="409">
        <v>0</v>
      </c>
      <c r="C37" s="414">
        <f t="shared" si="0"/>
        <v>1</v>
      </c>
      <c r="D37" s="412"/>
      <c r="E37" s="341"/>
      <c r="F37" s="357">
        <f t="shared" si="1"/>
        <v>0</v>
      </c>
      <c r="G37" s="357">
        <f t="shared" si="2"/>
        <v>0</v>
      </c>
      <c r="H37" s="357">
        <f t="shared" si="7"/>
        <v>0</v>
      </c>
      <c r="I37" s="357">
        <f t="shared" si="4"/>
        <v>0</v>
      </c>
      <c r="J37" s="357">
        <f t="shared" si="5"/>
        <v>0</v>
      </c>
      <c r="K37" s="357">
        <f t="shared" si="6"/>
        <v>0</v>
      </c>
    </row>
    <row r="38" spans="1:11">
      <c r="A38" s="285" t="s">
        <v>150</v>
      </c>
      <c r="B38" s="409">
        <f>Pressupostos!$B$20</f>
        <v>0.23</v>
      </c>
      <c r="C38" s="414">
        <f t="shared" si="0"/>
        <v>1</v>
      </c>
      <c r="D38" s="412"/>
      <c r="E38" s="341"/>
      <c r="F38" s="357">
        <f t="shared" si="1"/>
        <v>0</v>
      </c>
      <c r="G38" s="357">
        <f t="shared" si="2"/>
        <v>0</v>
      </c>
      <c r="H38" s="357">
        <f t="shared" si="7"/>
        <v>0</v>
      </c>
      <c r="I38" s="357">
        <f t="shared" si="4"/>
        <v>0</v>
      </c>
      <c r="J38" s="357">
        <f t="shared" si="5"/>
        <v>0</v>
      </c>
      <c r="K38" s="357">
        <f t="shared" si="6"/>
        <v>0</v>
      </c>
    </row>
    <row r="39" spans="1:11">
      <c r="A39" s="285" t="s">
        <v>151</v>
      </c>
      <c r="B39" s="409">
        <f>Pressupostos!$B$20</f>
        <v>0.23</v>
      </c>
      <c r="C39" s="414">
        <f t="shared" si="0"/>
        <v>1</v>
      </c>
      <c r="D39" s="412"/>
      <c r="E39" s="341"/>
      <c r="F39" s="357"/>
      <c r="G39" s="357">
        <f t="shared" si="2"/>
        <v>0</v>
      </c>
      <c r="H39" s="357">
        <f t="shared" si="7"/>
        <v>0</v>
      </c>
      <c r="I39" s="357">
        <f t="shared" si="4"/>
        <v>0</v>
      </c>
      <c r="J39" s="357">
        <f t="shared" si="5"/>
        <v>0</v>
      </c>
      <c r="K39" s="357">
        <f t="shared" si="6"/>
        <v>0</v>
      </c>
    </row>
    <row r="40" spans="1:11">
      <c r="A40" s="285" t="s">
        <v>152</v>
      </c>
      <c r="B40" s="409">
        <f>Pressupostos!$B$20</f>
        <v>0.23</v>
      </c>
      <c r="C40" s="414">
        <f t="shared" si="0"/>
        <v>1</v>
      </c>
      <c r="D40" s="412"/>
      <c r="E40" s="341"/>
      <c r="F40" s="357">
        <f t="shared" si="1"/>
        <v>0</v>
      </c>
      <c r="G40" s="357">
        <f t="shared" si="2"/>
        <v>0</v>
      </c>
      <c r="H40" s="357">
        <f t="shared" si="7"/>
        <v>0</v>
      </c>
      <c r="I40" s="357">
        <f t="shared" si="4"/>
        <v>0</v>
      </c>
      <c r="J40" s="357">
        <f t="shared" si="5"/>
        <v>0</v>
      </c>
      <c r="K40" s="357">
        <f t="shared" si="6"/>
        <v>0</v>
      </c>
    </row>
    <row r="41" spans="1:11">
      <c r="A41" s="285" t="s">
        <v>153</v>
      </c>
      <c r="B41" s="409">
        <f>Pressupostos!$B$20</f>
        <v>0.23</v>
      </c>
      <c r="C41" s="414">
        <f t="shared" si="0"/>
        <v>1</v>
      </c>
      <c r="D41" s="412"/>
      <c r="E41" s="341">
        <v>10</v>
      </c>
      <c r="F41" s="357">
        <f t="shared" si="1"/>
        <v>50</v>
      </c>
      <c r="G41" s="357">
        <f t="shared" si="2"/>
        <v>123.60000000000001</v>
      </c>
      <c r="H41" s="357">
        <f t="shared" si="7"/>
        <v>127.30800000000001</v>
      </c>
      <c r="I41" s="357">
        <f t="shared" si="4"/>
        <v>131.12724</v>
      </c>
      <c r="J41" s="357">
        <f t="shared" si="5"/>
        <v>135.06105719999999</v>
      </c>
      <c r="K41" s="357">
        <f t="shared" si="6"/>
        <v>139.112888916</v>
      </c>
    </row>
    <row r="42" spans="1:11">
      <c r="A42" s="97" t="s">
        <v>154</v>
      </c>
      <c r="B42" s="409">
        <f>Pressupostos!$B$20</f>
        <v>0.23</v>
      </c>
      <c r="C42" s="414">
        <f t="shared" si="0"/>
        <v>1</v>
      </c>
      <c r="D42" s="412"/>
      <c r="E42" s="341"/>
      <c r="F42" s="357">
        <f t="shared" si="1"/>
        <v>0</v>
      </c>
      <c r="G42" s="357">
        <f t="shared" si="2"/>
        <v>0</v>
      </c>
      <c r="H42" s="357">
        <f t="shared" si="7"/>
        <v>0</v>
      </c>
      <c r="I42" s="357">
        <f t="shared" si="4"/>
        <v>0</v>
      </c>
      <c r="J42" s="357">
        <f t="shared" si="5"/>
        <v>0</v>
      </c>
      <c r="K42" s="357">
        <f t="shared" si="6"/>
        <v>0</v>
      </c>
    </row>
    <row r="43" spans="1:11" ht="15" customHeight="1" thickBot="1">
      <c r="A43" s="466" t="s">
        <v>155</v>
      </c>
      <c r="B43" s="467"/>
      <c r="C43" s="467"/>
      <c r="D43" s="467"/>
      <c r="E43" s="468"/>
      <c r="F43" s="343">
        <f t="shared" ref="F43:K43" si="8">SUM(F13:F42)</f>
        <v>2329.1666666666665</v>
      </c>
      <c r="G43" s="343">
        <f t="shared" si="8"/>
        <v>5757.7000000000007</v>
      </c>
      <c r="H43" s="343">
        <f t="shared" si="8"/>
        <v>5930.4309999999996</v>
      </c>
      <c r="I43" s="343">
        <f t="shared" si="8"/>
        <v>6108.3439300000009</v>
      </c>
      <c r="J43" s="343">
        <f t="shared" si="8"/>
        <v>6291.5942479000014</v>
      </c>
      <c r="K43" s="343">
        <f t="shared" si="8"/>
        <v>6480.3420753370001</v>
      </c>
    </row>
    <row r="44" spans="1:11" ht="13.5" thickTop="1">
      <c r="A44" s="57"/>
      <c r="B44" s="57"/>
      <c r="C44" s="57"/>
      <c r="D44" s="57"/>
      <c r="E44" s="57"/>
      <c r="F44" s="344"/>
      <c r="G44" s="344"/>
      <c r="H44" s="344"/>
      <c r="I44" s="344"/>
      <c r="J44" s="344"/>
      <c r="K44" s="344"/>
    </row>
    <row r="45" spans="1:11" ht="14.25" customHeight="1" thickBot="1">
      <c r="A45" s="463" t="s">
        <v>156</v>
      </c>
      <c r="B45" s="464"/>
      <c r="C45" s="464"/>
      <c r="D45" s="464"/>
      <c r="E45" s="340"/>
      <c r="F45" s="345">
        <f t="shared" ref="F45:K45" si="9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2225</v>
      </c>
      <c r="G45" s="345">
        <f t="shared" si="9"/>
        <v>5500.2000000000007</v>
      </c>
      <c r="H45" s="345">
        <f t="shared" si="9"/>
        <v>5665.2060000000001</v>
      </c>
      <c r="I45" s="345">
        <f t="shared" si="9"/>
        <v>5835.1621800000003</v>
      </c>
      <c r="J45" s="345">
        <f t="shared" si="9"/>
        <v>6010.2170454000006</v>
      </c>
      <c r="K45" s="345">
        <f t="shared" si="9"/>
        <v>6190.5235567620011</v>
      </c>
    </row>
    <row r="46" spans="1:11" ht="13.5" thickTop="1">
      <c r="A46" s="57"/>
      <c r="B46" s="57"/>
      <c r="C46" s="57"/>
      <c r="D46" s="57"/>
      <c r="E46" s="57"/>
      <c r="F46" s="344"/>
      <c r="G46" s="344"/>
      <c r="H46" s="344"/>
      <c r="I46" s="344"/>
      <c r="J46" s="344"/>
      <c r="K46" s="344"/>
    </row>
    <row r="47" spans="1:11" ht="13.5" thickBot="1">
      <c r="A47" s="463" t="s">
        <v>157</v>
      </c>
      <c r="B47" s="464"/>
      <c r="C47" s="464"/>
      <c r="D47" s="464"/>
      <c r="E47" s="340"/>
      <c r="F47" s="345">
        <f t="shared" ref="F47:K47" si="10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104.16666666666666</v>
      </c>
      <c r="G47" s="345">
        <f t="shared" si="10"/>
        <v>257.5</v>
      </c>
      <c r="H47" s="345">
        <f t="shared" si="10"/>
        <v>265.22500000000002</v>
      </c>
      <c r="I47" s="345">
        <f t="shared" si="10"/>
        <v>273.18175000000002</v>
      </c>
      <c r="J47" s="345">
        <f t="shared" si="10"/>
        <v>281.37720250000001</v>
      </c>
      <c r="K47" s="345">
        <f t="shared" si="10"/>
        <v>289.81851857500004</v>
      </c>
    </row>
    <row r="48" spans="1:11" ht="13.5" thickTop="1">
      <c r="A48" s="57"/>
      <c r="B48" s="57"/>
      <c r="C48" s="57"/>
      <c r="D48" s="57"/>
      <c r="E48" s="57"/>
      <c r="F48" s="344"/>
      <c r="G48" s="344"/>
      <c r="H48" s="344"/>
      <c r="I48" s="344"/>
      <c r="J48" s="344"/>
      <c r="K48" s="344"/>
    </row>
    <row r="49" spans="1:11" ht="13.5" thickBot="1">
      <c r="A49" s="463" t="s">
        <v>158</v>
      </c>
      <c r="B49" s="464"/>
      <c r="C49" s="464"/>
      <c r="D49" s="464"/>
      <c r="E49" s="340"/>
      <c r="F49" s="345">
        <f t="shared" ref="F49:K49" si="11">F45+F47</f>
        <v>2329.1666666666665</v>
      </c>
      <c r="G49" s="345">
        <f t="shared" si="11"/>
        <v>5757.7000000000007</v>
      </c>
      <c r="H49" s="345">
        <f t="shared" si="11"/>
        <v>5930.4310000000005</v>
      </c>
      <c r="I49" s="345">
        <f t="shared" si="11"/>
        <v>6108.34393</v>
      </c>
      <c r="J49" s="345">
        <f t="shared" si="11"/>
        <v>6291.5942479000005</v>
      </c>
      <c r="K49" s="345">
        <f t="shared" si="11"/>
        <v>6480.342075337001</v>
      </c>
    </row>
    <row r="50" spans="1:11" ht="13.5" thickTop="1">
      <c r="A50" s="57"/>
      <c r="B50" s="57"/>
      <c r="C50" s="57"/>
      <c r="D50" s="57"/>
      <c r="E50" s="57"/>
      <c r="F50" s="344"/>
      <c r="G50" s="344"/>
      <c r="H50" s="344"/>
      <c r="I50" s="344"/>
      <c r="J50" s="344"/>
      <c r="K50" s="344"/>
    </row>
    <row r="51" spans="1:11" ht="13.5" thickBot="1">
      <c r="A51" s="469" t="s">
        <v>102</v>
      </c>
      <c r="B51" s="469"/>
      <c r="C51" s="469"/>
      <c r="D51" s="469"/>
      <c r="E51" s="469"/>
      <c r="F51" s="346">
        <f t="shared" ref="F51:K51" si="12">(F13*$B$13)+(F15*$B$15)+(F16*$B$16)+(F17*$B$17)+(F18*$B$18)+(F19*$B$19)+(F20*$B$20)+(F22*$B$22)+(F23*$B$23)+(F24*$B$24)+(F25*$B$25)+(F27*$B$27)+(F29*$B$29)+(F36*$B$36)+(F41*$B$41)</f>
        <v>213.70833333333331</v>
      </c>
      <c r="G51" s="346">
        <f t="shared" si="12"/>
        <v>528.28700000000003</v>
      </c>
      <c r="H51" s="346">
        <f t="shared" si="12"/>
        <v>544.13561000000004</v>
      </c>
      <c r="I51" s="346">
        <f t="shared" si="12"/>
        <v>560.45967830000006</v>
      </c>
      <c r="J51" s="346">
        <f t="shared" si="12"/>
        <v>577.27346864900016</v>
      </c>
      <c r="K51" s="346">
        <f t="shared" si="12"/>
        <v>594.59167270847013</v>
      </c>
    </row>
    <row r="52" spans="1:11" ht="13.5" thickTop="1">
      <c r="A52" s="57"/>
      <c r="B52" s="57"/>
      <c r="C52" s="57"/>
      <c r="D52" s="57"/>
      <c r="E52" s="57"/>
      <c r="F52" s="344"/>
      <c r="G52" s="344"/>
      <c r="H52" s="344"/>
      <c r="I52" s="344"/>
      <c r="J52" s="344"/>
      <c r="K52" s="344"/>
    </row>
    <row r="53" spans="1:11" ht="13.5" thickBot="1">
      <c r="A53" s="465" t="s">
        <v>159</v>
      </c>
      <c r="B53" s="465"/>
      <c r="C53" s="465"/>
      <c r="D53" s="465"/>
      <c r="E53" s="465"/>
      <c r="F53" s="347">
        <f t="shared" ref="F53:K53" si="13">F43+F51</f>
        <v>2542.875</v>
      </c>
      <c r="G53" s="347">
        <f t="shared" si="13"/>
        <v>6285.987000000001</v>
      </c>
      <c r="H53" s="347">
        <f t="shared" si="13"/>
        <v>6474.5666099999999</v>
      </c>
      <c r="I53" s="347">
        <f t="shared" si="13"/>
        <v>6668.8036083000006</v>
      </c>
      <c r="J53" s="347">
        <f t="shared" si="13"/>
        <v>6868.8677165490017</v>
      </c>
      <c r="K53" s="347">
        <f t="shared" si="13"/>
        <v>7074.9337480454706</v>
      </c>
    </row>
    <row r="54" spans="1:11" ht="13.5" thickTop="1"/>
  </sheetData>
  <sheetProtection password="8318" sheet="1" objects="1" scenarios="1"/>
  <mergeCells count="7">
    <mergeCell ref="A49:D49"/>
    <mergeCell ref="A53:E53"/>
    <mergeCell ref="A4:K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6F59-5FB3-4E05-BEFE-52A9492B48A1}">
  <sheetPr codeName="Sheet5"/>
  <dimension ref="A1:I105"/>
  <sheetViews>
    <sheetView showGridLines="0" showZeros="0" topLeftCell="A64" zoomScaleNormal="100" workbookViewId="0">
      <selection activeCell="D78" sqref="D78"/>
    </sheetView>
  </sheetViews>
  <sheetFormatPr defaultColWidth="8.7109375" defaultRowHeight="12.75"/>
  <cols>
    <col min="1" max="1" width="25.28515625" style="67" customWidth="1"/>
    <col min="2" max="2" width="5.28515625" style="67" customWidth="1"/>
    <col min="3" max="3" width="12.5703125" style="67" customWidth="1"/>
    <col min="4" max="13" width="11.42578125" style="67" customWidth="1"/>
    <col min="14" max="37" width="11.7109375" style="67" customWidth="1"/>
    <col min="38" max="16384" width="8.7109375" style="67"/>
  </cols>
  <sheetData>
    <row r="1" spans="1:9" ht="13.5">
      <c r="A1" s="57"/>
      <c r="B1" s="57"/>
      <c r="C1" s="47"/>
      <c r="D1" s="47"/>
      <c r="E1" s="47"/>
      <c r="F1" s="47"/>
      <c r="G1" s="47"/>
      <c r="H1" s="88" t="str">
        <f>+VN!G1</f>
        <v>Empresa:</v>
      </c>
      <c r="I1" s="49" t="str">
        <f>+Pressupostos!E1</f>
        <v>WAITR</v>
      </c>
    </row>
    <row r="2" spans="1:9">
      <c r="A2" s="99"/>
      <c r="B2" s="99"/>
      <c r="C2" s="47"/>
      <c r="D2" s="47"/>
      <c r="E2" s="47"/>
      <c r="F2" s="47"/>
      <c r="G2" s="47"/>
      <c r="H2" s="47"/>
      <c r="I2" s="52" t="str">
        <f>+Pressupostos!B9</f>
        <v>Euros</v>
      </c>
    </row>
    <row r="3" spans="1:9">
      <c r="A3" s="99"/>
      <c r="B3" s="99"/>
      <c r="C3" s="47"/>
      <c r="D3" s="47"/>
      <c r="E3" s="47"/>
      <c r="F3" s="47"/>
      <c r="G3" s="47"/>
      <c r="H3" s="47"/>
      <c r="I3" s="52"/>
    </row>
    <row r="4" spans="1:9" ht="15.75">
      <c r="A4" s="457" t="s">
        <v>160</v>
      </c>
      <c r="B4" s="457"/>
      <c r="C4" s="457"/>
      <c r="D4" s="457"/>
      <c r="E4" s="457"/>
      <c r="F4" s="457"/>
      <c r="G4" s="457"/>
      <c r="H4" s="457"/>
      <c r="I4" s="457"/>
    </row>
    <row r="5" spans="1:9">
      <c r="A5" s="53"/>
      <c r="B5" s="53"/>
      <c r="C5" s="53"/>
      <c r="D5" s="53"/>
      <c r="E5" s="53"/>
      <c r="F5" s="53"/>
      <c r="G5" s="53"/>
      <c r="H5" s="53"/>
      <c r="I5" s="53"/>
    </row>
    <row r="6" spans="1:9">
      <c r="A6" s="55"/>
      <c r="B6" s="90"/>
      <c r="C6" s="90"/>
      <c r="D6" s="54">
        <f>+VN!C8</f>
        <v>2024</v>
      </c>
      <c r="E6" s="54">
        <f>+VN!D8</f>
        <v>2025</v>
      </c>
      <c r="F6" s="54">
        <f>+VN!E8</f>
        <v>2026</v>
      </c>
      <c r="G6" s="54">
        <f>+VN!F8</f>
        <v>2027</v>
      </c>
      <c r="H6" s="54">
        <f>+VN!G8</f>
        <v>2028</v>
      </c>
      <c r="I6" s="54">
        <f>+VN!H8</f>
        <v>2029</v>
      </c>
    </row>
    <row r="7" spans="1:9">
      <c r="A7" s="91" t="s">
        <v>119</v>
      </c>
      <c r="B7" s="92"/>
      <c r="C7" s="93"/>
      <c r="D7" s="32">
        <v>5</v>
      </c>
      <c r="E7" s="136">
        <v>14</v>
      </c>
      <c r="F7" s="136">
        <v>14</v>
      </c>
      <c r="G7" s="136">
        <f>+F7</f>
        <v>14</v>
      </c>
      <c r="H7" s="136">
        <f>+G7</f>
        <v>14</v>
      </c>
      <c r="I7" s="136">
        <f>+H7</f>
        <v>14</v>
      </c>
    </row>
    <row r="8" spans="1:9">
      <c r="A8" s="91" t="s">
        <v>161</v>
      </c>
      <c r="B8" s="92"/>
      <c r="C8" s="93"/>
      <c r="D8" s="95">
        <v>0</v>
      </c>
      <c r="E8" s="28">
        <v>0.01</v>
      </c>
      <c r="F8" s="28">
        <v>0.01</v>
      </c>
      <c r="G8" s="28">
        <v>0.01</v>
      </c>
      <c r="H8" s="28">
        <v>0.01</v>
      </c>
      <c r="I8" s="28">
        <v>0.01</v>
      </c>
    </row>
    <row r="9" spans="1:9">
      <c r="A9" s="100"/>
      <c r="B9" s="100"/>
      <c r="C9" s="101"/>
      <c r="D9" s="57"/>
      <c r="E9" s="57"/>
      <c r="F9" s="57"/>
      <c r="G9" s="57"/>
      <c r="H9" s="57"/>
      <c r="I9" s="57"/>
    </row>
    <row r="10" spans="1:9">
      <c r="A10" s="100"/>
      <c r="B10" s="100"/>
      <c r="C10" s="101"/>
      <c r="D10" s="57"/>
      <c r="E10" s="57"/>
      <c r="F10" s="57"/>
      <c r="G10" s="57"/>
      <c r="H10" s="57"/>
      <c r="I10" s="57"/>
    </row>
    <row r="11" spans="1:9">
      <c r="A11" s="473" t="s">
        <v>162</v>
      </c>
      <c r="B11" s="474"/>
      <c r="C11" s="475"/>
      <c r="D11" s="54">
        <f t="shared" ref="D11:I11" si="0">+D6</f>
        <v>2024</v>
      </c>
      <c r="E11" s="54">
        <f t="shared" si="0"/>
        <v>2025</v>
      </c>
      <c r="F11" s="54">
        <f t="shared" si="0"/>
        <v>2026</v>
      </c>
      <c r="G11" s="54">
        <f t="shared" si="0"/>
        <v>2027</v>
      </c>
      <c r="H11" s="54">
        <f t="shared" si="0"/>
        <v>2028</v>
      </c>
      <c r="I11" s="54">
        <f t="shared" si="0"/>
        <v>2029</v>
      </c>
    </row>
    <row r="12" spans="1:9">
      <c r="A12" s="102" t="s">
        <v>163</v>
      </c>
      <c r="B12" s="92"/>
      <c r="C12" s="93"/>
      <c r="D12" s="37">
        <v>1</v>
      </c>
      <c r="E12" s="37">
        <v>1</v>
      </c>
      <c r="F12" s="37">
        <v>1</v>
      </c>
      <c r="G12" s="37">
        <v>1</v>
      </c>
      <c r="H12" s="37">
        <v>1</v>
      </c>
      <c r="I12" s="37">
        <v>1</v>
      </c>
    </row>
    <row r="13" spans="1:9">
      <c r="A13" s="40" t="s">
        <v>164</v>
      </c>
      <c r="B13" s="103"/>
      <c r="C13" s="104"/>
      <c r="D13" s="37"/>
      <c r="E13" s="37">
        <v>0</v>
      </c>
      <c r="F13" s="37">
        <v>0</v>
      </c>
      <c r="G13" s="37">
        <v>0</v>
      </c>
      <c r="H13" s="37">
        <v>0</v>
      </c>
      <c r="I13" s="37">
        <v>0</v>
      </c>
    </row>
    <row r="14" spans="1:9">
      <c r="A14" s="40" t="s">
        <v>165</v>
      </c>
      <c r="B14" s="103"/>
      <c r="C14" s="104"/>
      <c r="D14" s="37"/>
      <c r="E14" s="37"/>
      <c r="F14" s="37"/>
      <c r="G14" s="37"/>
      <c r="H14" s="37"/>
      <c r="I14" s="37"/>
    </row>
    <row r="15" spans="1:9">
      <c r="A15" s="40" t="s">
        <v>166</v>
      </c>
      <c r="B15" s="103"/>
      <c r="C15" s="104"/>
      <c r="D15" s="37"/>
      <c r="E15" s="37">
        <v>0</v>
      </c>
      <c r="F15" s="37">
        <v>0</v>
      </c>
      <c r="G15" s="37">
        <v>0</v>
      </c>
      <c r="H15" s="37">
        <v>0</v>
      </c>
      <c r="I15" s="37">
        <v>0</v>
      </c>
    </row>
    <row r="16" spans="1:9">
      <c r="A16" s="40" t="s">
        <v>167</v>
      </c>
      <c r="B16" s="103"/>
      <c r="C16" s="104"/>
      <c r="D16" s="37"/>
      <c r="E16" s="37"/>
      <c r="F16" s="37"/>
      <c r="G16" s="37"/>
      <c r="H16" s="37"/>
      <c r="I16" s="37"/>
    </row>
    <row r="17" spans="1:9">
      <c r="A17" s="40" t="s">
        <v>168</v>
      </c>
      <c r="B17" s="103"/>
      <c r="C17" s="104"/>
      <c r="D17" s="37"/>
      <c r="E17" s="37"/>
      <c r="F17" s="37"/>
      <c r="G17" s="37"/>
      <c r="H17" s="37"/>
      <c r="I17" s="37"/>
    </row>
    <row r="18" spans="1:9">
      <c r="A18" s="40" t="s">
        <v>169</v>
      </c>
      <c r="B18" s="103"/>
      <c r="C18" s="104"/>
      <c r="D18" s="37"/>
      <c r="E18" s="37"/>
      <c r="F18" s="37"/>
      <c r="G18" s="37"/>
      <c r="H18" s="37"/>
      <c r="I18" s="37"/>
    </row>
    <row r="19" spans="1:9">
      <c r="A19" s="40" t="s">
        <v>170</v>
      </c>
      <c r="B19" s="103"/>
      <c r="C19" s="104"/>
      <c r="D19" s="37">
        <v>1</v>
      </c>
      <c r="E19" s="37">
        <v>1</v>
      </c>
      <c r="F19" s="37">
        <v>1</v>
      </c>
      <c r="G19" s="37">
        <v>1</v>
      </c>
      <c r="H19" s="37">
        <v>1</v>
      </c>
      <c r="I19" s="37">
        <v>1</v>
      </c>
    </row>
    <row r="20" spans="1:9">
      <c r="A20" s="40" t="s">
        <v>171</v>
      </c>
      <c r="B20" s="103"/>
      <c r="C20" s="104"/>
      <c r="D20" s="37"/>
      <c r="E20" s="37"/>
      <c r="F20" s="37"/>
      <c r="G20" s="37"/>
      <c r="H20" s="37"/>
      <c r="I20" s="37"/>
    </row>
    <row r="21" spans="1:9">
      <c r="A21" s="41"/>
      <c r="B21" s="105"/>
      <c r="C21" s="106"/>
      <c r="D21" s="35"/>
      <c r="E21" s="35"/>
      <c r="F21" s="35"/>
      <c r="G21" s="35"/>
      <c r="H21" s="35"/>
      <c r="I21" s="35"/>
    </row>
    <row r="22" spans="1:9">
      <c r="A22" s="41"/>
      <c r="B22" s="105"/>
      <c r="C22" s="106"/>
      <c r="D22" s="35"/>
      <c r="E22" s="35"/>
      <c r="F22" s="35"/>
      <c r="G22" s="35"/>
      <c r="H22" s="35"/>
      <c r="I22" s="35"/>
    </row>
    <row r="23" spans="1:9" ht="13.5" thickBot="1">
      <c r="A23" s="466" t="s">
        <v>172</v>
      </c>
      <c r="B23" s="467"/>
      <c r="C23" s="468"/>
      <c r="D23" s="107">
        <f t="shared" ref="D23:I23" si="1">+SUM(D12:D22)</f>
        <v>2</v>
      </c>
      <c r="E23" s="107">
        <f t="shared" si="1"/>
        <v>2</v>
      </c>
      <c r="F23" s="107">
        <f t="shared" si="1"/>
        <v>2</v>
      </c>
      <c r="G23" s="107">
        <f t="shared" si="1"/>
        <v>2</v>
      </c>
      <c r="H23" s="107">
        <f t="shared" si="1"/>
        <v>2</v>
      </c>
      <c r="I23" s="107">
        <f t="shared" si="1"/>
        <v>2</v>
      </c>
    </row>
    <row r="24" spans="1:9" ht="13.5" thickTop="1">
      <c r="A24" s="100"/>
      <c r="B24" s="100"/>
      <c r="C24" s="101"/>
      <c r="D24" s="57"/>
      <c r="E24" s="57"/>
      <c r="F24" s="57"/>
      <c r="G24" s="57"/>
      <c r="H24" s="57"/>
      <c r="I24" s="57"/>
    </row>
    <row r="25" spans="1:9">
      <c r="A25" s="100"/>
      <c r="B25" s="100"/>
      <c r="C25" s="101"/>
      <c r="D25" s="57"/>
      <c r="E25" s="57"/>
      <c r="F25" s="57"/>
      <c r="G25" s="57"/>
      <c r="H25" s="57"/>
      <c r="I25" s="57"/>
    </row>
    <row r="26" spans="1:9">
      <c r="A26" s="473" t="s">
        <v>173</v>
      </c>
      <c r="B26" s="474"/>
      <c r="C26" s="475"/>
      <c r="D26" s="54">
        <f t="shared" ref="D26:I26" si="2">+D21</f>
        <v>0</v>
      </c>
      <c r="E26" s="54">
        <f t="shared" si="2"/>
        <v>0</v>
      </c>
      <c r="F26" s="54">
        <f t="shared" si="2"/>
        <v>0</v>
      </c>
      <c r="G26" s="54">
        <f t="shared" si="2"/>
        <v>0</v>
      </c>
      <c r="H26" s="54">
        <f t="shared" si="2"/>
        <v>0</v>
      </c>
      <c r="I26" s="54">
        <f t="shared" si="2"/>
        <v>0</v>
      </c>
    </row>
    <row r="27" spans="1:9">
      <c r="A27" s="102" t="s">
        <v>163</v>
      </c>
      <c r="B27" s="92"/>
      <c r="C27" s="93"/>
      <c r="D27" s="360">
        <v>5</v>
      </c>
      <c r="E27" s="360">
        <v>12</v>
      </c>
      <c r="F27" s="360">
        <v>12</v>
      </c>
      <c r="G27" s="360">
        <v>12</v>
      </c>
      <c r="H27" s="360">
        <v>12</v>
      </c>
      <c r="I27" s="360">
        <v>12</v>
      </c>
    </row>
    <row r="28" spans="1:9">
      <c r="A28" s="40" t="s">
        <v>164</v>
      </c>
      <c r="B28" s="103"/>
      <c r="C28" s="104"/>
      <c r="D28" s="360">
        <v>5</v>
      </c>
      <c r="E28" s="360">
        <v>12</v>
      </c>
      <c r="F28" s="360">
        <v>12</v>
      </c>
      <c r="G28" s="360">
        <v>12</v>
      </c>
      <c r="H28" s="360">
        <v>12</v>
      </c>
      <c r="I28" s="360">
        <v>12</v>
      </c>
    </row>
    <row r="29" spans="1:9">
      <c r="A29" s="40" t="s">
        <v>165</v>
      </c>
      <c r="B29" s="103"/>
      <c r="C29" s="104"/>
      <c r="D29" s="360">
        <v>5</v>
      </c>
      <c r="E29" s="360">
        <v>12</v>
      </c>
      <c r="F29" s="360">
        <v>12</v>
      </c>
      <c r="G29" s="360">
        <v>12</v>
      </c>
      <c r="H29" s="360">
        <v>12</v>
      </c>
      <c r="I29" s="360">
        <v>12</v>
      </c>
    </row>
    <row r="30" spans="1:9">
      <c r="A30" s="40" t="s">
        <v>166</v>
      </c>
      <c r="B30" s="103"/>
      <c r="C30" s="104"/>
      <c r="D30" s="360">
        <v>5</v>
      </c>
      <c r="E30" s="360">
        <v>12</v>
      </c>
      <c r="F30" s="360">
        <v>12</v>
      </c>
      <c r="G30" s="360">
        <v>12</v>
      </c>
      <c r="H30" s="360">
        <v>12</v>
      </c>
      <c r="I30" s="360">
        <v>12</v>
      </c>
    </row>
    <row r="31" spans="1:9">
      <c r="A31" s="40" t="s">
        <v>167</v>
      </c>
      <c r="B31" s="103"/>
      <c r="C31" s="104"/>
      <c r="D31" s="360">
        <v>5</v>
      </c>
      <c r="E31" s="360">
        <v>12</v>
      </c>
      <c r="F31" s="360">
        <v>12</v>
      </c>
      <c r="G31" s="360">
        <v>12</v>
      </c>
      <c r="H31" s="360">
        <v>12</v>
      </c>
      <c r="I31" s="360">
        <v>12</v>
      </c>
    </row>
    <row r="32" spans="1:9">
      <c r="A32" s="40" t="s">
        <v>168</v>
      </c>
      <c r="B32" s="103"/>
      <c r="C32" s="104"/>
      <c r="D32" s="360">
        <v>5</v>
      </c>
      <c r="E32" s="360">
        <v>12</v>
      </c>
      <c r="F32" s="360">
        <v>12</v>
      </c>
      <c r="G32" s="360">
        <v>12</v>
      </c>
      <c r="H32" s="360">
        <v>12</v>
      </c>
      <c r="I32" s="360">
        <v>12</v>
      </c>
    </row>
    <row r="33" spans="1:9">
      <c r="A33" s="40" t="s">
        <v>169</v>
      </c>
      <c r="B33" s="103"/>
      <c r="C33" s="104"/>
      <c r="D33" s="360">
        <v>5</v>
      </c>
      <c r="E33" s="360">
        <v>12</v>
      </c>
      <c r="F33" s="360">
        <v>12</v>
      </c>
      <c r="G33" s="360">
        <v>12</v>
      </c>
      <c r="H33" s="360">
        <v>12</v>
      </c>
      <c r="I33" s="360">
        <v>12</v>
      </c>
    </row>
    <row r="34" spans="1:9">
      <c r="A34" s="40" t="s">
        <v>170</v>
      </c>
      <c r="B34" s="103"/>
      <c r="C34" s="104"/>
      <c r="D34" s="360">
        <v>5</v>
      </c>
      <c r="E34" s="360">
        <v>12</v>
      </c>
      <c r="F34" s="360">
        <v>12</v>
      </c>
      <c r="G34" s="360">
        <v>12</v>
      </c>
      <c r="H34" s="360">
        <v>12</v>
      </c>
      <c r="I34" s="360">
        <v>12</v>
      </c>
    </row>
    <row r="35" spans="1:9">
      <c r="A35" s="40" t="s">
        <v>171</v>
      </c>
      <c r="B35" s="103"/>
      <c r="C35" s="104"/>
      <c r="D35" s="360">
        <v>5</v>
      </c>
      <c r="E35" s="360">
        <v>6</v>
      </c>
      <c r="F35" s="360">
        <v>12</v>
      </c>
      <c r="G35" s="360">
        <v>12</v>
      </c>
      <c r="H35" s="360">
        <v>12</v>
      </c>
      <c r="I35" s="360">
        <v>12</v>
      </c>
    </row>
    <row r="36" spans="1:9">
      <c r="A36" s="41"/>
      <c r="B36" s="105"/>
      <c r="C36" s="106"/>
      <c r="D36" s="35"/>
      <c r="E36" s="35"/>
      <c r="F36" s="35"/>
      <c r="G36" s="35"/>
      <c r="H36" s="35"/>
      <c r="I36" s="35"/>
    </row>
    <row r="37" spans="1:9">
      <c r="A37" s="41"/>
      <c r="B37" s="105"/>
      <c r="C37" s="106"/>
      <c r="D37" s="35"/>
      <c r="E37" s="35"/>
      <c r="F37" s="35"/>
      <c r="G37" s="35"/>
      <c r="H37" s="35"/>
      <c r="I37" s="35"/>
    </row>
    <row r="38" spans="1:9">
      <c r="A38" s="100"/>
      <c r="B38" s="100"/>
      <c r="C38" s="101"/>
      <c r="D38" s="57"/>
      <c r="E38" s="57"/>
      <c r="F38" s="57"/>
      <c r="G38" s="57"/>
      <c r="H38" s="57"/>
      <c r="I38" s="57"/>
    </row>
    <row r="39" spans="1:9">
      <c r="A39" s="100"/>
      <c r="B39" s="100"/>
      <c r="C39" s="101"/>
      <c r="D39" s="57"/>
      <c r="E39" s="57"/>
      <c r="F39" s="57"/>
      <c r="G39" s="57"/>
      <c r="H39" s="57"/>
      <c r="I39" s="57"/>
    </row>
    <row r="40" spans="1:9">
      <c r="A40" s="473" t="s">
        <v>174</v>
      </c>
      <c r="B40" s="474"/>
      <c r="C40" s="475"/>
      <c r="D40" s="54">
        <f t="shared" ref="D40:I40" si="3">+D11</f>
        <v>2024</v>
      </c>
      <c r="E40" s="54">
        <f t="shared" si="3"/>
        <v>2025</v>
      </c>
      <c r="F40" s="54">
        <f t="shared" si="3"/>
        <v>2026</v>
      </c>
      <c r="G40" s="54">
        <f t="shared" si="3"/>
        <v>2027</v>
      </c>
      <c r="H40" s="54">
        <f t="shared" si="3"/>
        <v>2028</v>
      </c>
      <c r="I40" s="54">
        <f t="shared" si="3"/>
        <v>2029</v>
      </c>
    </row>
    <row r="41" spans="1:9">
      <c r="A41" s="102" t="str">
        <f t="shared" ref="A41:A51" si="4">+A12</f>
        <v>Administração / Direcção</v>
      </c>
      <c r="B41" s="92"/>
      <c r="C41" s="93"/>
      <c r="D41" s="38">
        <v>1000</v>
      </c>
      <c r="E41" s="38">
        <f>+ROUND(D41*(1+E8),2)</f>
        <v>1010</v>
      </c>
      <c r="F41" s="38">
        <f>+ROUND(E41*(1+F8),2)</f>
        <v>1020.1</v>
      </c>
      <c r="G41" s="38">
        <f>+ROUND(F41*(1+G8),2)</f>
        <v>1030.3</v>
      </c>
      <c r="H41" s="38">
        <f>+ROUND(G41*(1+H8),2)</f>
        <v>1040.5999999999999</v>
      </c>
      <c r="I41" s="38">
        <f>+ROUND(H41*(1+I8),2)</f>
        <v>1051.01</v>
      </c>
    </row>
    <row r="42" spans="1:9">
      <c r="A42" s="102" t="str">
        <f t="shared" si="4"/>
        <v>Administrativa Financeira</v>
      </c>
      <c r="B42" s="92"/>
      <c r="C42" s="93"/>
      <c r="D42" s="38">
        <v>0</v>
      </c>
      <c r="E42" s="38">
        <f>+ROUND(D42*(1+E8),2)</f>
        <v>0</v>
      </c>
      <c r="F42" s="38">
        <f>+ROUND(E42*(1+F8),2)</f>
        <v>0</v>
      </c>
      <c r="G42" s="38">
        <f>+ROUND(F42*(1+G8),2)</f>
        <v>0</v>
      </c>
      <c r="H42" s="38">
        <f>+ROUND(G42*(1+H8),2)</f>
        <v>0</v>
      </c>
      <c r="I42" s="38">
        <f>+ROUND(H42*(1+I8),2)</f>
        <v>0</v>
      </c>
    </row>
    <row r="43" spans="1:9">
      <c r="A43" s="102" t="str">
        <f t="shared" si="4"/>
        <v>Comercial / Marketing</v>
      </c>
      <c r="B43" s="92"/>
      <c r="C43" s="93"/>
      <c r="D43" s="38"/>
      <c r="E43" s="38">
        <f>+ROUND(D43*(1+E8),2)</f>
        <v>0</v>
      </c>
      <c r="F43" s="38">
        <f>+ROUND(E43*(1+F8),2)</f>
        <v>0</v>
      </c>
      <c r="G43" s="38">
        <f>+ROUND(F43*(1+G8),2)</f>
        <v>0</v>
      </c>
      <c r="H43" s="38">
        <f>+ROUND(G43*(1+H8),2)</f>
        <v>0</v>
      </c>
      <c r="I43" s="38">
        <f>+ROUND(H43*(1+I8),2)</f>
        <v>0</v>
      </c>
    </row>
    <row r="44" spans="1:9">
      <c r="A44" s="102" t="str">
        <f t="shared" si="4"/>
        <v>Produção / Operacional</v>
      </c>
      <c r="B44" s="92"/>
      <c r="C44" s="93"/>
      <c r="D44" s="38">
        <v>0</v>
      </c>
      <c r="E44" s="38">
        <f>+ROUND(D44*(1+E8),2)</f>
        <v>0</v>
      </c>
      <c r="F44" s="38">
        <f>+ROUND(E44*(1+F8),2)</f>
        <v>0</v>
      </c>
      <c r="G44" s="38">
        <f>+ROUND(F44*(1+G8),2)</f>
        <v>0</v>
      </c>
      <c r="H44" s="38">
        <f>+ROUND(G44*(1+H8),2)</f>
        <v>0</v>
      </c>
      <c r="I44" s="38">
        <f>+ROUND(H44*(1+I8),2)</f>
        <v>0</v>
      </c>
    </row>
    <row r="45" spans="1:9">
      <c r="A45" s="102" t="str">
        <f t="shared" si="4"/>
        <v>Qualidade</v>
      </c>
      <c r="B45" s="92"/>
      <c r="C45" s="93"/>
      <c r="D45" s="38"/>
      <c r="E45" s="38">
        <f>+ROUND(D45*(1+E8),2)</f>
        <v>0</v>
      </c>
      <c r="F45" s="38">
        <f>+ROUND(E45*(1+F8),2)</f>
        <v>0</v>
      </c>
      <c r="G45" s="38">
        <f>+ROUND(F45*(1+G8),2)</f>
        <v>0</v>
      </c>
      <c r="H45" s="38">
        <f>+ROUND(G45*(1+H8),2)</f>
        <v>0</v>
      </c>
      <c r="I45" s="38">
        <f>+ROUND(H45*(1+I8),2)</f>
        <v>0</v>
      </c>
    </row>
    <row r="46" spans="1:9">
      <c r="A46" s="102" t="str">
        <f t="shared" si="4"/>
        <v>Manutenção</v>
      </c>
      <c r="B46" s="92"/>
      <c r="C46" s="93"/>
      <c r="D46" s="38"/>
      <c r="E46" s="38">
        <f>+ROUND(D46*(1+E8),2)</f>
        <v>0</v>
      </c>
      <c r="F46" s="38">
        <f>+ROUND(E46*(1+F8),2)</f>
        <v>0</v>
      </c>
      <c r="G46" s="38">
        <f>+ROUND(F46*(1+G8),2)</f>
        <v>0</v>
      </c>
      <c r="H46" s="38">
        <f>+ROUND(G46*(1+H8),2)</f>
        <v>0</v>
      </c>
      <c r="I46" s="38">
        <f>+ROUND(H46*(1+I8),2)</f>
        <v>0</v>
      </c>
    </row>
    <row r="47" spans="1:9">
      <c r="A47" s="102" t="str">
        <f t="shared" si="4"/>
        <v>Aprovisionamento</v>
      </c>
      <c r="B47" s="92"/>
      <c r="C47" s="93"/>
      <c r="D47" s="38"/>
      <c r="E47" s="38">
        <f>+ROUND(D47*(1+E8),2)</f>
        <v>0</v>
      </c>
      <c r="F47" s="38">
        <f>+ROUND(E47*(1+F8),2)</f>
        <v>0</v>
      </c>
      <c r="G47" s="38">
        <f>+ROUND(F47*(1+G8),2)</f>
        <v>0</v>
      </c>
      <c r="H47" s="38">
        <f>+ROUND(G47*(1+H8),2)</f>
        <v>0</v>
      </c>
      <c r="I47" s="38">
        <f>+ROUND(H47*(1+I8),2)</f>
        <v>0</v>
      </c>
    </row>
    <row r="48" spans="1:9">
      <c r="A48" s="102" t="str">
        <f t="shared" si="4"/>
        <v>Investigação &amp; Desenvolvimento</v>
      </c>
      <c r="B48" s="92"/>
      <c r="C48" s="93"/>
      <c r="D48" s="38">
        <v>1000</v>
      </c>
      <c r="E48" s="38">
        <f>+ROUND(D48*(1+E8),2)</f>
        <v>1010</v>
      </c>
      <c r="F48" s="38">
        <f>+ROUND(E48*(1+F8),2)</f>
        <v>1020.1</v>
      </c>
      <c r="G48" s="38">
        <f>+ROUND(F48*(1+G8),2)</f>
        <v>1030.3</v>
      </c>
      <c r="H48" s="38">
        <f>+ROUND(G48*(1+H8),2)</f>
        <v>1040.5999999999999</v>
      </c>
      <c r="I48" s="38">
        <f>+ROUND(H48*(1+I8),2)</f>
        <v>1051.01</v>
      </c>
    </row>
    <row r="49" spans="1:9">
      <c r="A49" s="102" t="str">
        <f t="shared" si="4"/>
        <v>Outros</v>
      </c>
      <c r="B49" s="92"/>
      <c r="C49" s="93"/>
      <c r="D49" s="38"/>
      <c r="E49" s="38">
        <f>+ROUND(D49*(1+E8),2)</f>
        <v>0</v>
      </c>
      <c r="F49" s="38">
        <f>+ROUND(E49*(1+F8),2)</f>
        <v>0</v>
      </c>
      <c r="G49" s="38">
        <f>+ROUND(F49*(1+G8),2)</f>
        <v>0</v>
      </c>
      <c r="H49" s="38">
        <f>+ROUND(G49*(1+H8),2)</f>
        <v>0</v>
      </c>
      <c r="I49" s="38">
        <f>+ROUND(H49*(1+I8),2)</f>
        <v>0</v>
      </c>
    </row>
    <row r="50" spans="1:9">
      <c r="A50" s="102">
        <f t="shared" si="4"/>
        <v>0</v>
      </c>
      <c r="B50" s="109"/>
      <c r="C50" s="110"/>
      <c r="D50" s="39"/>
      <c r="E50" s="38">
        <f>+ROUND(D50*(1+E8),2)</f>
        <v>0</v>
      </c>
      <c r="F50" s="38">
        <f>+ROUND(E50*(1+F8),2)</f>
        <v>0</v>
      </c>
      <c r="G50" s="38">
        <f>+ROUND(F50*(1+G8),2)</f>
        <v>0</v>
      </c>
      <c r="H50" s="38">
        <f>+ROUND(G50*(1+H8),2)</f>
        <v>0</v>
      </c>
      <c r="I50" s="38">
        <f>+ROUND(H50*(1+I8),2)</f>
        <v>0</v>
      </c>
    </row>
    <row r="51" spans="1:9">
      <c r="A51" s="102">
        <f t="shared" si="4"/>
        <v>0</v>
      </c>
      <c r="B51" s="109"/>
      <c r="C51" s="110"/>
      <c r="D51" s="38"/>
      <c r="E51" s="38">
        <f>+ROUND(D51*(1+E8),2)</f>
        <v>0</v>
      </c>
      <c r="F51" s="38">
        <f>+ROUND(E51*(1+F8),2)</f>
        <v>0</v>
      </c>
      <c r="G51" s="38">
        <f>+ROUND(F51*(1+G8),2)</f>
        <v>0</v>
      </c>
      <c r="H51" s="38">
        <f>+ROUND(G51*(1+H8),2)</f>
        <v>0</v>
      </c>
      <c r="I51" s="38">
        <f>+ROUND(H51*(1+I8),2)</f>
        <v>0</v>
      </c>
    </row>
    <row r="52" spans="1:9">
      <c r="A52" s="111"/>
      <c r="B52" s="112"/>
      <c r="C52" s="113"/>
      <c r="D52" s="114"/>
      <c r="E52" s="114"/>
      <c r="F52" s="114"/>
      <c r="G52" s="114"/>
      <c r="H52" s="114"/>
      <c r="I52" s="114"/>
    </row>
    <row r="53" spans="1:9">
      <c r="A53" s="111"/>
      <c r="B53" s="112"/>
      <c r="C53" s="113"/>
      <c r="D53" s="114"/>
      <c r="E53" s="114"/>
      <c r="F53" s="114"/>
      <c r="G53" s="114"/>
      <c r="H53" s="114"/>
      <c r="I53" s="114"/>
    </row>
    <row r="54" spans="1:9">
      <c r="A54" s="473" t="s">
        <v>175</v>
      </c>
      <c r="B54" s="474"/>
      <c r="C54" s="475"/>
      <c r="D54" s="54">
        <f t="shared" ref="D54:I54" si="5">+D40</f>
        <v>2024</v>
      </c>
      <c r="E54" s="54">
        <f t="shared" si="5"/>
        <v>2025</v>
      </c>
      <c r="F54" s="54">
        <f t="shared" si="5"/>
        <v>2026</v>
      </c>
      <c r="G54" s="54">
        <f t="shared" si="5"/>
        <v>2027</v>
      </c>
      <c r="H54" s="54">
        <f t="shared" si="5"/>
        <v>2028</v>
      </c>
      <c r="I54" s="54">
        <f t="shared" si="5"/>
        <v>2029</v>
      </c>
    </row>
    <row r="55" spans="1:9">
      <c r="A55" s="102" t="str">
        <f>+A41</f>
        <v>Administração / Direcção</v>
      </c>
      <c r="B55" s="92"/>
      <c r="C55" s="93"/>
      <c r="D55" s="115">
        <f t="shared" ref="D55:D65" si="6">+D12*D27/12*D41*$D$7</f>
        <v>2083.3333333333335</v>
      </c>
      <c r="E55" s="115">
        <f t="shared" ref="E55:E65" si="7">+E12*E27/12*E41*$E$7</f>
        <v>14140</v>
      </c>
      <c r="F55" s="115">
        <f t="shared" ref="F55:F65" si="8">+F12*F27/12*F41*$F$7</f>
        <v>14281.4</v>
      </c>
      <c r="G55" s="115">
        <f t="shared" ref="G55:G65" si="9">+G12*G27/12*G41*$G$7</f>
        <v>14424.199999999999</v>
      </c>
      <c r="H55" s="115">
        <f t="shared" ref="H55:H65" si="10">+H12*H27/12*H41*$H$7</f>
        <v>14568.399999999998</v>
      </c>
      <c r="I55" s="115">
        <f t="shared" ref="I55:I65" si="11">+I12*I27/12*I41*$I$7</f>
        <v>14714.14</v>
      </c>
    </row>
    <row r="56" spans="1:9">
      <c r="A56" s="102" t="str">
        <f t="shared" ref="A56:A65" si="12">+A42</f>
        <v>Administrativa Financeira</v>
      </c>
      <c r="B56" s="92"/>
      <c r="C56" s="93"/>
      <c r="D56" s="115">
        <f t="shared" si="6"/>
        <v>0</v>
      </c>
      <c r="E56" s="115">
        <f t="shared" si="7"/>
        <v>0</v>
      </c>
      <c r="F56" s="115">
        <f t="shared" si="8"/>
        <v>0</v>
      </c>
      <c r="G56" s="115">
        <f t="shared" si="9"/>
        <v>0</v>
      </c>
      <c r="H56" s="115">
        <f t="shared" si="10"/>
        <v>0</v>
      </c>
      <c r="I56" s="115">
        <f t="shared" si="11"/>
        <v>0</v>
      </c>
    </row>
    <row r="57" spans="1:9">
      <c r="A57" s="102" t="str">
        <f t="shared" si="12"/>
        <v>Comercial / Marketing</v>
      </c>
      <c r="B57" s="92"/>
      <c r="C57" s="93"/>
      <c r="D57" s="115">
        <f t="shared" si="6"/>
        <v>0</v>
      </c>
      <c r="E57" s="115">
        <f t="shared" si="7"/>
        <v>0</v>
      </c>
      <c r="F57" s="115">
        <f t="shared" si="8"/>
        <v>0</v>
      </c>
      <c r="G57" s="115">
        <f t="shared" si="9"/>
        <v>0</v>
      </c>
      <c r="H57" s="115">
        <f t="shared" si="10"/>
        <v>0</v>
      </c>
      <c r="I57" s="115">
        <f t="shared" si="11"/>
        <v>0</v>
      </c>
    </row>
    <row r="58" spans="1:9">
      <c r="A58" s="102" t="str">
        <f t="shared" si="12"/>
        <v>Produção / Operacional</v>
      </c>
      <c r="B58" s="92"/>
      <c r="C58" s="93"/>
      <c r="D58" s="115">
        <f t="shared" si="6"/>
        <v>0</v>
      </c>
      <c r="E58" s="115">
        <f t="shared" si="7"/>
        <v>0</v>
      </c>
      <c r="F58" s="115">
        <f t="shared" si="8"/>
        <v>0</v>
      </c>
      <c r="G58" s="115">
        <f t="shared" si="9"/>
        <v>0</v>
      </c>
      <c r="H58" s="115">
        <f t="shared" si="10"/>
        <v>0</v>
      </c>
      <c r="I58" s="115">
        <f t="shared" si="11"/>
        <v>0</v>
      </c>
    </row>
    <row r="59" spans="1:9">
      <c r="A59" s="102" t="str">
        <f t="shared" si="12"/>
        <v>Qualidade</v>
      </c>
      <c r="B59" s="92"/>
      <c r="C59" s="93"/>
      <c r="D59" s="115">
        <f t="shared" si="6"/>
        <v>0</v>
      </c>
      <c r="E59" s="115">
        <f t="shared" si="7"/>
        <v>0</v>
      </c>
      <c r="F59" s="115">
        <f t="shared" si="8"/>
        <v>0</v>
      </c>
      <c r="G59" s="115">
        <f t="shared" si="9"/>
        <v>0</v>
      </c>
      <c r="H59" s="115">
        <f t="shared" si="10"/>
        <v>0</v>
      </c>
      <c r="I59" s="115">
        <f t="shared" si="11"/>
        <v>0</v>
      </c>
    </row>
    <row r="60" spans="1:9">
      <c r="A60" s="102" t="str">
        <f t="shared" si="12"/>
        <v>Manutenção</v>
      </c>
      <c r="B60" s="92"/>
      <c r="C60" s="93"/>
      <c r="D60" s="115">
        <f t="shared" si="6"/>
        <v>0</v>
      </c>
      <c r="E60" s="115">
        <f t="shared" si="7"/>
        <v>0</v>
      </c>
      <c r="F60" s="115">
        <f t="shared" si="8"/>
        <v>0</v>
      </c>
      <c r="G60" s="115">
        <f t="shared" si="9"/>
        <v>0</v>
      </c>
      <c r="H60" s="115">
        <f t="shared" si="10"/>
        <v>0</v>
      </c>
      <c r="I60" s="115">
        <f t="shared" si="11"/>
        <v>0</v>
      </c>
    </row>
    <row r="61" spans="1:9">
      <c r="A61" s="102" t="str">
        <f t="shared" si="12"/>
        <v>Aprovisionamento</v>
      </c>
      <c r="B61" s="92"/>
      <c r="C61" s="93"/>
      <c r="D61" s="115">
        <f t="shared" si="6"/>
        <v>0</v>
      </c>
      <c r="E61" s="115">
        <f t="shared" si="7"/>
        <v>0</v>
      </c>
      <c r="F61" s="115">
        <f t="shared" si="8"/>
        <v>0</v>
      </c>
      <c r="G61" s="115">
        <f t="shared" si="9"/>
        <v>0</v>
      </c>
      <c r="H61" s="115">
        <f t="shared" si="10"/>
        <v>0</v>
      </c>
      <c r="I61" s="115">
        <f t="shared" si="11"/>
        <v>0</v>
      </c>
    </row>
    <row r="62" spans="1:9">
      <c r="A62" s="102" t="str">
        <f t="shared" si="12"/>
        <v>Investigação &amp; Desenvolvimento</v>
      </c>
      <c r="B62" s="92"/>
      <c r="C62" s="93"/>
      <c r="D62" s="115">
        <f t="shared" si="6"/>
        <v>2083.3333333333335</v>
      </c>
      <c r="E62" s="115">
        <f t="shared" si="7"/>
        <v>14140</v>
      </c>
      <c r="F62" s="115">
        <f t="shared" si="8"/>
        <v>14281.4</v>
      </c>
      <c r="G62" s="115">
        <f t="shared" si="9"/>
        <v>14424.199999999999</v>
      </c>
      <c r="H62" s="115">
        <f t="shared" si="10"/>
        <v>14568.399999999998</v>
      </c>
      <c r="I62" s="115">
        <f t="shared" si="11"/>
        <v>14714.14</v>
      </c>
    </row>
    <row r="63" spans="1:9">
      <c r="A63" s="102" t="str">
        <f t="shared" si="12"/>
        <v>Outros</v>
      </c>
      <c r="B63" s="92"/>
      <c r="C63" s="93"/>
      <c r="D63" s="115">
        <f t="shared" si="6"/>
        <v>0</v>
      </c>
      <c r="E63" s="115">
        <f t="shared" si="7"/>
        <v>0</v>
      </c>
      <c r="F63" s="115">
        <f t="shared" si="8"/>
        <v>0</v>
      </c>
      <c r="G63" s="115">
        <f t="shared" si="9"/>
        <v>0</v>
      </c>
      <c r="H63" s="115">
        <f t="shared" si="10"/>
        <v>0</v>
      </c>
      <c r="I63" s="115">
        <f t="shared" si="11"/>
        <v>0</v>
      </c>
    </row>
    <row r="64" spans="1:9">
      <c r="A64" s="102">
        <f t="shared" si="12"/>
        <v>0</v>
      </c>
      <c r="B64" s="109"/>
      <c r="C64" s="110"/>
      <c r="D64" s="115">
        <f t="shared" si="6"/>
        <v>0</v>
      </c>
      <c r="E64" s="115">
        <f t="shared" si="7"/>
        <v>0</v>
      </c>
      <c r="F64" s="115">
        <f t="shared" si="8"/>
        <v>0</v>
      </c>
      <c r="G64" s="115">
        <f t="shared" si="9"/>
        <v>0</v>
      </c>
      <c r="H64" s="115">
        <f t="shared" si="10"/>
        <v>0</v>
      </c>
      <c r="I64" s="115">
        <f t="shared" si="11"/>
        <v>0</v>
      </c>
    </row>
    <row r="65" spans="1:9">
      <c r="A65" s="102">
        <f t="shared" si="12"/>
        <v>0</v>
      </c>
      <c r="B65" s="109"/>
      <c r="C65" s="110"/>
      <c r="D65" s="115">
        <f t="shared" si="6"/>
        <v>0</v>
      </c>
      <c r="E65" s="115">
        <f t="shared" si="7"/>
        <v>0</v>
      </c>
      <c r="F65" s="115">
        <f t="shared" si="8"/>
        <v>0</v>
      </c>
      <c r="G65" s="115">
        <f t="shared" si="9"/>
        <v>0</v>
      </c>
      <c r="H65" s="115">
        <f t="shared" si="10"/>
        <v>0</v>
      </c>
      <c r="I65" s="115">
        <f t="shared" si="11"/>
        <v>0</v>
      </c>
    </row>
    <row r="66" spans="1:9" ht="13.5" thickBot="1">
      <c r="A66" s="466" t="s">
        <v>172</v>
      </c>
      <c r="B66" s="467"/>
      <c r="C66" s="468"/>
      <c r="D66" s="116">
        <f t="shared" ref="D66:I66" si="13">+SUM(D55:D65)</f>
        <v>4166.666666666667</v>
      </c>
      <c r="E66" s="116">
        <f t="shared" si="13"/>
        <v>28280</v>
      </c>
      <c r="F66" s="116">
        <f t="shared" si="13"/>
        <v>28562.799999999999</v>
      </c>
      <c r="G66" s="116">
        <f t="shared" si="13"/>
        <v>28848.399999999998</v>
      </c>
      <c r="H66" s="116">
        <f t="shared" si="13"/>
        <v>29136.799999999996</v>
      </c>
      <c r="I66" s="116">
        <f t="shared" si="13"/>
        <v>29428.28</v>
      </c>
    </row>
    <row r="67" spans="1:9" ht="13.5" thickTop="1">
      <c r="A67" s="111"/>
      <c r="B67" s="112"/>
      <c r="C67" s="113"/>
      <c r="D67" s="114"/>
      <c r="E67" s="114"/>
      <c r="F67" s="114"/>
      <c r="G67" s="114"/>
      <c r="H67" s="114"/>
      <c r="I67" s="114"/>
    </row>
    <row r="68" spans="1:9">
      <c r="A68" s="57"/>
      <c r="B68" s="57"/>
      <c r="C68" s="101"/>
      <c r="D68" s="117"/>
      <c r="E68" s="117"/>
      <c r="F68" s="117"/>
      <c r="G68" s="117"/>
      <c r="H68" s="117"/>
      <c r="I68" s="117"/>
    </row>
    <row r="69" spans="1:9">
      <c r="A69" s="470" t="s">
        <v>176</v>
      </c>
      <c r="B69" s="471"/>
      <c r="C69" s="472"/>
      <c r="D69" s="54">
        <f t="shared" ref="D69:I69" si="14">+D6</f>
        <v>2024</v>
      </c>
      <c r="E69" s="54">
        <f t="shared" si="14"/>
        <v>2025</v>
      </c>
      <c r="F69" s="54">
        <f t="shared" si="14"/>
        <v>2026</v>
      </c>
      <c r="G69" s="54">
        <f t="shared" si="14"/>
        <v>2027</v>
      </c>
      <c r="H69" s="54">
        <f t="shared" si="14"/>
        <v>2028</v>
      </c>
      <c r="I69" s="54">
        <f t="shared" si="14"/>
        <v>2029</v>
      </c>
    </row>
    <row r="70" spans="1:9">
      <c r="A70" s="118" t="s">
        <v>177</v>
      </c>
      <c r="B70" s="119"/>
      <c r="C70" s="76"/>
      <c r="D70" s="76"/>
      <c r="E70" s="76"/>
      <c r="F70" s="76"/>
      <c r="G70" s="76"/>
      <c r="H70" s="76"/>
      <c r="I70" s="76"/>
    </row>
    <row r="71" spans="1:9">
      <c r="A71" s="58" t="s">
        <v>178</v>
      </c>
      <c r="B71" s="120"/>
      <c r="C71" s="121">
        <f>+Pressupostos!B23</f>
        <v>0.23749999999999999</v>
      </c>
      <c r="D71" s="122">
        <f t="shared" ref="D71:I71" si="15">$C$71*(D55+D77)</f>
        <v>494.79166666666669</v>
      </c>
      <c r="E71" s="122">
        <f t="shared" si="15"/>
        <v>3358.25</v>
      </c>
      <c r="F71" s="122">
        <f t="shared" si="15"/>
        <v>3391.8325</v>
      </c>
      <c r="G71" s="122">
        <f t="shared" si="15"/>
        <v>3425.7474999999995</v>
      </c>
      <c r="H71" s="122">
        <f t="shared" si="15"/>
        <v>3459.9949999999994</v>
      </c>
      <c r="I71" s="122">
        <f t="shared" si="15"/>
        <v>3494.6082499999998</v>
      </c>
    </row>
    <row r="72" spans="1:9">
      <c r="A72" s="58" t="s">
        <v>179</v>
      </c>
      <c r="B72" s="120"/>
      <c r="C72" s="121">
        <f>+Pressupostos!B24</f>
        <v>0.23749999999999999</v>
      </c>
      <c r="D72" s="122">
        <f t="shared" ref="D72:I72" si="16">+$C$72*(SUM(D56:D65)+D78)</f>
        <v>494.79166666666669</v>
      </c>
      <c r="E72" s="122">
        <f t="shared" si="16"/>
        <v>3358.25</v>
      </c>
      <c r="F72" s="122">
        <f t="shared" si="16"/>
        <v>3391.8325</v>
      </c>
      <c r="G72" s="122">
        <f t="shared" si="16"/>
        <v>3425.7474999999995</v>
      </c>
      <c r="H72" s="122">
        <f t="shared" si="16"/>
        <v>3459.9949999999994</v>
      </c>
      <c r="I72" s="122">
        <f t="shared" si="16"/>
        <v>3494.6082499999998</v>
      </c>
    </row>
    <row r="73" spans="1:9">
      <c r="A73" s="123" t="s">
        <v>180</v>
      </c>
      <c r="B73" s="124"/>
      <c r="C73" s="415">
        <v>0.01</v>
      </c>
      <c r="D73" s="125">
        <f t="shared" ref="D73:I73" si="17">+$C$73*D66</f>
        <v>41.666666666666671</v>
      </c>
      <c r="E73" s="125">
        <f t="shared" si="17"/>
        <v>282.8</v>
      </c>
      <c r="F73" s="125">
        <f t="shared" si="17"/>
        <v>285.62799999999999</v>
      </c>
      <c r="G73" s="125">
        <f t="shared" si="17"/>
        <v>288.48399999999998</v>
      </c>
      <c r="H73" s="125">
        <f t="shared" si="17"/>
        <v>291.36799999999994</v>
      </c>
      <c r="I73" s="125">
        <f t="shared" si="17"/>
        <v>294.28280000000001</v>
      </c>
    </row>
    <row r="74" spans="1:9">
      <c r="A74" s="123" t="s">
        <v>181</v>
      </c>
      <c r="B74" s="124"/>
      <c r="C74" s="8">
        <v>6</v>
      </c>
      <c r="D74" s="125">
        <f t="shared" ref="D74:I74" si="18">+$C$74*D75*D23</f>
        <v>132</v>
      </c>
      <c r="E74" s="125">
        <f t="shared" si="18"/>
        <v>132</v>
      </c>
      <c r="F74" s="125">
        <f t="shared" si="18"/>
        <v>132</v>
      </c>
      <c r="G74" s="125">
        <f t="shared" si="18"/>
        <v>132</v>
      </c>
      <c r="H74" s="125">
        <f t="shared" si="18"/>
        <v>132</v>
      </c>
      <c r="I74" s="125">
        <f t="shared" si="18"/>
        <v>132</v>
      </c>
    </row>
    <row r="75" spans="1:9">
      <c r="A75" s="359" t="s">
        <v>182</v>
      </c>
      <c r="B75" s="137"/>
      <c r="C75" s="76"/>
      <c r="D75" s="360">
        <v>11</v>
      </c>
      <c r="E75" s="360">
        <v>11</v>
      </c>
      <c r="F75" s="360">
        <v>11</v>
      </c>
      <c r="G75" s="360">
        <v>11</v>
      </c>
      <c r="H75" s="360">
        <v>11</v>
      </c>
      <c r="I75" s="360">
        <v>11</v>
      </c>
    </row>
    <row r="76" spans="1:9">
      <c r="A76" s="123" t="s">
        <v>183</v>
      </c>
      <c r="B76" s="137"/>
      <c r="C76" s="76"/>
      <c r="D76" s="122"/>
      <c r="E76" s="122"/>
      <c r="F76" s="122"/>
      <c r="G76" s="122"/>
      <c r="H76" s="122"/>
      <c r="I76" s="122"/>
    </row>
    <row r="77" spans="1:9">
      <c r="A77" s="58" t="s">
        <v>178</v>
      </c>
      <c r="B77" s="120"/>
      <c r="C77" s="36"/>
      <c r="D77" s="250"/>
      <c r="E77" s="250"/>
      <c r="F77" s="250"/>
      <c r="G77" s="250"/>
      <c r="H77" s="250"/>
      <c r="I77" s="250"/>
    </row>
    <row r="78" spans="1:9">
      <c r="A78" s="58" t="s">
        <v>179</v>
      </c>
      <c r="B78" s="120"/>
      <c r="C78" s="36"/>
      <c r="D78" s="250"/>
      <c r="E78" s="250"/>
      <c r="F78" s="250"/>
      <c r="G78" s="250"/>
      <c r="H78" s="250"/>
      <c r="I78" s="250"/>
    </row>
    <row r="79" spans="1:9">
      <c r="A79" s="126" t="s">
        <v>184</v>
      </c>
      <c r="B79" s="126"/>
      <c r="C79" s="127"/>
      <c r="D79" s="29"/>
      <c r="E79" s="29"/>
      <c r="F79" s="29"/>
      <c r="G79" s="29"/>
      <c r="H79" s="29"/>
      <c r="I79" s="29"/>
    </row>
    <row r="80" spans="1:9">
      <c r="A80" s="128" t="s">
        <v>185</v>
      </c>
      <c r="B80" s="110"/>
      <c r="C80" s="129"/>
      <c r="D80" s="31"/>
      <c r="E80" s="31"/>
      <c r="F80" s="31"/>
      <c r="G80" s="31"/>
      <c r="H80" s="31"/>
      <c r="I80" s="31"/>
    </row>
    <row r="81" spans="1:9" ht="14.25" customHeight="1" thickBot="1">
      <c r="A81" s="476" t="s">
        <v>186</v>
      </c>
      <c r="B81" s="477"/>
      <c r="C81" s="478"/>
      <c r="D81" s="34">
        <f t="shared" ref="D81:I81" si="19">+D71+D72+D73+D74+D77+D78+D79+D80</f>
        <v>1163.25</v>
      </c>
      <c r="E81" s="34">
        <f t="shared" si="19"/>
        <v>7131.3</v>
      </c>
      <c r="F81" s="34">
        <f t="shared" si="19"/>
        <v>7201.2929999999997</v>
      </c>
      <c r="G81" s="34">
        <f t="shared" si="19"/>
        <v>7271.9789999999994</v>
      </c>
      <c r="H81" s="34">
        <f t="shared" si="19"/>
        <v>7343.3579999999984</v>
      </c>
      <c r="I81" s="34">
        <f t="shared" si="19"/>
        <v>7415.4992999999995</v>
      </c>
    </row>
    <row r="82" spans="1:9" ht="13.5" thickTop="1">
      <c r="A82" s="112"/>
      <c r="B82" s="112"/>
      <c r="C82" s="112"/>
      <c r="D82" s="57"/>
      <c r="E82" s="57"/>
      <c r="F82" s="57"/>
      <c r="G82" s="57"/>
      <c r="H82" s="57"/>
      <c r="I82" s="57"/>
    </row>
    <row r="83" spans="1:9" ht="13.5" thickBot="1">
      <c r="A83" s="476" t="s">
        <v>187</v>
      </c>
      <c r="B83" s="477"/>
      <c r="C83" s="478"/>
      <c r="D83" s="34">
        <f t="shared" ref="D83:I83" si="20">D66+D81</f>
        <v>5329.916666666667</v>
      </c>
      <c r="E83" s="34">
        <f t="shared" si="20"/>
        <v>35411.300000000003</v>
      </c>
      <c r="F83" s="34">
        <f t="shared" si="20"/>
        <v>35764.093000000001</v>
      </c>
      <c r="G83" s="34">
        <f t="shared" si="20"/>
        <v>36120.379000000001</v>
      </c>
      <c r="H83" s="34">
        <f t="shared" si="20"/>
        <v>36480.157999999996</v>
      </c>
      <c r="I83" s="34">
        <f t="shared" si="20"/>
        <v>36843.779299999995</v>
      </c>
    </row>
    <row r="84" spans="1:9" ht="13.5" thickTop="1">
      <c r="A84" s="112"/>
      <c r="B84" s="112"/>
      <c r="C84" s="112"/>
      <c r="D84" s="57"/>
      <c r="E84" s="57"/>
      <c r="F84" s="57"/>
      <c r="G84" s="57"/>
      <c r="H84" s="57"/>
      <c r="I84" s="57"/>
    </row>
    <row r="85" spans="1:9">
      <c r="A85" s="112"/>
      <c r="B85" s="112"/>
      <c r="C85" s="112"/>
      <c r="D85" s="57"/>
      <c r="E85" s="57"/>
      <c r="F85" s="57"/>
      <c r="G85" s="57"/>
      <c r="H85" s="57"/>
      <c r="I85" s="57"/>
    </row>
    <row r="86" spans="1:9">
      <c r="A86" s="470" t="s">
        <v>188</v>
      </c>
      <c r="B86" s="471"/>
      <c r="C86" s="472"/>
      <c r="D86" s="54">
        <f t="shared" ref="D86:I86" si="21">+D6</f>
        <v>2024</v>
      </c>
      <c r="E86" s="54">
        <f t="shared" si="21"/>
        <v>2025</v>
      </c>
      <c r="F86" s="54">
        <f t="shared" si="21"/>
        <v>2026</v>
      </c>
      <c r="G86" s="54">
        <f t="shared" si="21"/>
        <v>2027</v>
      </c>
      <c r="H86" s="54">
        <f t="shared" si="21"/>
        <v>2028</v>
      </c>
      <c r="I86" s="54">
        <f t="shared" si="21"/>
        <v>2029</v>
      </c>
    </row>
    <row r="87" spans="1:9">
      <c r="A87" s="102" t="s">
        <v>189</v>
      </c>
      <c r="B87" s="93"/>
      <c r="C87" s="129"/>
      <c r="D87" s="96"/>
      <c r="E87" s="96"/>
      <c r="F87" s="96"/>
      <c r="G87" s="96"/>
      <c r="H87" s="96"/>
      <c r="I87" s="96"/>
    </row>
    <row r="88" spans="1:9">
      <c r="A88" s="58" t="s">
        <v>178</v>
      </c>
      <c r="B88" s="130"/>
      <c r="C88" s="129"/>
      <c r="D88" s="122">
        <f t="shared" ref="D88:I88" si="22">D55+D77</f>
        <v>2083.3333333333335</v>
      </c>
      <c r="E88" s="122">
        <f t="shared" si="22"/>
        <v>14140</v>
      </c>
      <c r="F88" s="122">
        <f t="shared" si="22"/>
        <v>14281.4</v>
      </c>
      <c r="G88" s="122">
        <f t="shared" si="22"/>
        <v>14424.199999999999</v>
      </c>
      <c r="H88" s="122">
        <f t="shared" si="22"/>
        <v>14568.399999999998</v>
      </c>
      <c r="I88" s="122">
        <f t="shared" si="22"/>
        <v>14714.14</v>
      </c>
    </row>
    <row r="89" spans="1:9">
      <c r="A89" s="58" t="s">
        <v>179</v>
      </c>
      <c r="B89" s="130"/>
      <c r="C89" s="129"/>
      <c r="D89" s="122">
        <f t="shared" ref="D89:I89" si="23">+SUM(D56:D65)+D78</f>
        <v>2083.3333333333335</v>
      </c>
      <c r="E89" s="122">
        <f t="shared" si="23"/>
        <v>14140</v>
      </c>
      <c r="F89" s="122">
        <f t="shared" si="23"/>
        <v>14281.4</v>
      </c>
      <c r="G89" s="122">
        <f t="shared" si="23"/>
        <v>14424.199999999999</v>
      </c>
      <c r="H89" s="122">
        <f t="shared" si="23"/>
        <v>14568.399999999998</v>
      </c>
      <c r="I89" s="122">
        <f t="shared" si="23"/>
        <v>14714.14</v>
      </c>
    </row>
    <row r="90" spans="1:9">
      <c r="A90" s="102" t="s">
        <v>190</v>
      </c>
      <c r="B90" s="93"/>
      <c r="C90" s="129"/>
      <c r="D90" s="122">
        <f t="shared" ref="D90:I90" si="24">+D71+D72</f>
        <v>989.58333333333337</v>
      </c>
      <c r="E90" s="122">
        <f t="shared" si="24"/>
        <v>6716.5</v>
      </c>
      <c r="F90" s="122">
        <f t="shared" si="24"/>
        <v>6783.665</v>
      </c>
      <c r="G90" s="122">
        <f t="shared" si="24"/>
        <v>6851.494999999999</v>
      </c>
      <c r="H90" s="122">
        <f t="shared" si="24"/>
        <v>6919.9899999999989</v>
      </c>
      <c r="I90" s="122">
        <f t="shared" si="24"/>
        <v>6989.2164999999995</v>
      </c>
    </row>
    <row r="91" spans="1:9">
      <c r="A91" s="123" t="s">
        <v>191</v>
      </c>
      <c r="B91" s="93"/>
      <c r="C91" s="129"/>
      <c r="D91" s="122">
        <f t="shared" ref="D91:I91" si="25">+D73</f>
        <v>41.666666666666671</v>
      </c>
      <c r="E91" s="122">
        <f t="shared" si="25"/>
        <v>282.8</v>
      </c>
      <c r="F91" s="122">
        <f t="shared" si="25"/>
        <v>285.62799999999999</v>
      </c>
      <c r="G91" s="122">
        <f t="shared" si="25"/>
        <v>288.48399999999998</v>
      </c>
      <c r="H91" s="122">
        <f t="shared" si="25"/>
        <v>291.36799999999994</v>
      </c>
      <c r="I91" s="122">
        <f t="shared" si="25"/>
        <v>294.28280000000001</v>
      </c>
    </row>
    <row r="92" spans="1:9">
      <c r="A92" s="102" t="s">
        <v>192</v>
      </c>
      <c r="B92" s="93"/>
      <c r="C92" s="129"/>
      <c r="D92" s="122">
        <f t="shared" ref="D92:I92" si="26">+D74</f>
        <v>132</v>
      </c>
      <c r="E92" s="122">
        <f t="shared" si="26"/>
        <v>132</v>
      </c>
      <c r="F92" s="122">
        <f t="shared" si="26"/>
        <v>132</v>
      </c>
      <c r="G92" s="122">
        <f t="shared" si="26"/>
        <v>132</v>
      </c>
      <c r="H92" s="122">
        <f t="shared" si="26"/>
        <v>132</v>
      </c>
      <c r="I92" s="122">
        <f t="shared" si="26"/>
        <v>132</v>
      </c>
    </row>
    <row r="93" spans="1:9">
      <c r="A93" s="128" t="s">
        <v>193</v>
      </c>
      <c r="B93" s="110"/>
      <c r="C93" s="131"/>
      <c r="D93" s="303">
        <f t="shared" ref="D93:I93" si="27">+D79+D80</f>
        <v>0</v>
      </c>
      <c r="E93" s="303">
        <f t="shared" si="27"/>
        <v>0</v>
      </c>
      <c r="F93" s="303">
        <f t="shared" si="27"/>
        <v>0</v>
      </c>
      <c r="G93" s="303">
        <f t="shared" si="27"/>
        <v>0</v>
      </c>
      <c r="H93" s="303">
        <f t="shared" si="27"/>
        <v>0</v>
      </c>
      <c r="I93" s="303">
        <f t="shared" si="27"/>
        <v>0</v>
      </c>
    </row>
    <row r="94" spans="1:9" ht="13.5" thickBot="1">
      <c r="A94" s="476" t="s">
        <v>187</v>
      </c>
      <c r="B94" s="477"/>
      <c r="C94" s="478"/>
      <c r="D94" s="34">
        <f t="shared" ref="D94:I94" si="28">SUM(D88:D93)</f>
        <v>5329.916666666667</v>
      </c>
      <c r="E94" s="34">
        <f t="shared" si="28"/>
        <v>35411.300000000003</v>
      </c>
      <c r="F94" s="34">
        <f t="shared" si="28"/>
        <v>35764.092999999993</v>
      </c>
      <c r="G94" s="34">
        <f t="shared" si="28"/>
        <v>36120.378999999994</v>
      </c>
      <c r="H94" s="34">
        <f t="shared" si="28"/>
        <v>36480.157999999996</v>
      </c>
      <c r="I94" s="34">
        <f t="shared" si="28"/>
        <v>36843.779300000002</v>
      </c>
    </row>
    <row r="95" spans="1:9" ht="13.5" thickTop="1">
      <c r="A95" s="132"/>
      <c r="B95" s="132"/>
      <c r="C95" s="132"/>
      <c r="D95" s="117"/>
      <c r="E95" s="117"/>
      <c r="F95" s="117"/>
      <c r="G95" s="117"/>
      <c r="H95" s="117"/>
      <c r="I95" s="117"/>
    </row>
    <row r="96" spans="1:9">
      <c r="A96" s="112"/>
      <c r="B96" s="112"/>
      <c r="C96" s="57"/>
      <c r="D96" s="57"/>
      <c r="E96" s="57"/>
      <c r="F96" s="57"/>
      <c r="G96" s="57"/>
      <c r="H96" s="57"/>
      <c r="I96" s="57"/>
    </row>
    <row r="97" spans="1:9">
      <c r="A97" s="470" t="s">
        <v>194</v>
      </c>
      <c r="B97" s="471"/>
      <c r="C97" s="472"/>
      <c r="D97" s="54">
        <f t="shared" ref="D97:I97" si="29">+D86</f>
        <v>2024</v>
      </c>
      <c r="E97" s="54">
        <f t="shared" si="29"/>
        <v>2025</v>
      </c>
      <c r="F97" s="54">
        <f t="shared" si="29"/>
        <v>2026</v>
      </c>
      <c r="G97" s="54">
        <f t="shared" si="29"/>
        <v>2027</v>
      </c>
      <c r="H97" s="54">
        <f t="shared" si="29"/>
        <v>2028</v>
      </c>
      <c r="I97" s="54">
        <f t="shared" si="29"/>
        <v>2029</v>
      </c>
    </row>
    <row r="98" spans="1:9">
      <c r="A98" s="102" t="s">
        <v>195</v>
      </c>
      <c r="B98" s="93"/>
      <c r="C98" s="121"/>
      <c r="D98" s="122"/>
      <c r="E98" s="122"/>
      <c r="F98" s="122"/>
      <c r="G98" s="122"/>
      <c r="H98" s="122"/>
      <c r="I98" s="122"/>
    </row>
    <row r="99" spans="1:9">
      <c r="A99" s="58" t="s">
        <v>196</v>
      </c>
      <c r="B99" s="120"/>
      <c r="C99" s="121">
        <f>+Pressupostos!B25</f>
        <v>0.11</v>
      </c>
      <c r="D99" s="122">
        <f t="shared" ref="D99:I99" si="30">+$C$99*D88</f>
        <v>229.16666666666669</v>
      </c>
      <c r="E99" s="122">
        <f t="shared" si="30"/>
        <v>1555.4</v>
      </c>
      <c r="F99" s="122">
        <f t="shared" si="30"/>
        <v>1570.954</v>
      </c>
      <c r="G99" s="122">
        <f t="shared" si="30"/>
        <v>1586.6619999999998</v>
      </c>
      <c r="H99" s="122">
        <f t="shared" si="30"/>
        <v>1602.5239999999997</v>
      </c>
      <c r="I99" s="122">
        <f t="shared" si="30"/>
        <v>1618.5554</v>
      </c>
    </row>
    <row r="100" spans="1:9">
      <c r="A100" s="58" t="s">
        <v>197</v>
      </c>
      <c r="B100" s="120"/>
      <c r="C100" s="121">
        <f>+Pressupostos!B26</f>
        <v>0.11</v>
      </c>
      <c r="D100" s="122">
        <f t="shared" ref="D100:I100" si="31">+$C$100*D89</f>
        <v>229.16666666666669</v>
      </c>
      <c r="E100" s="122">
        <f t="shared" si="31"/>
        <v>1555.4</v>
      </c>
      <c r="F100" s="122">
        <f t="shared" si="31"/>
        <v>1570.954</v>
      </c>
      <c r="G100" s="122">
        <f t="shared" si="31"/>
        <v>1586.6619999999998</v>
      </c>
      <c r="H100" s="122">
        <f t="shared" si="31"/>
        <v>1602.5239999999997</v>
      </c>
      <c r="I100" s="122">
        <f t="shared" si="31"/>
        <v>1618.5554</v>
      </c>
    </row>
    <row r="101" spans="1:9">
      <c r="A101" s="102" t="s">
        <v>198</v>
      </c>
      <c r="B101" s="93"/>
      <c r="C101" s="121">
        <f>+Pressupostos!B27</f>
        <v>0.15</v>
      </c>
      <c r="D101" s="122">
        <f t="shared" ref="D101:I101" si="32">+$C$101*(D88+D89)</f>
        <v>625</v>
      </c>
      <c r="E101" s="122">
        <f t="shared" si="32"/>
        <v>4242</v>
      </c>
      <c r="F101" s="122">
        <f t="shared" si="32"/>
        <v>4284.42</v>
      </c>
      <c r="G101" s="122">
        <f t="shared" si="32"/>
        <v>4327.2599999999993</v>
      </c>
      <c r="H101" s="122">
        <f t="shared" si="32"/>
        <v>4370.5199999999995</v>
      </c>
      <c r="I101" s="122">
        <f t="shared" si="32"/>
        <v>4414.2419999999993</v>
      </c>
    </row>
    <row r="102" spans="1:9" ht="13.5" thickBot="1">
      <c r="A102" s="476" t="s">
        <v>199</v>
      </c>
      <c r="B102" s="477"/>
      <c r="C102" s="478"/>
      <c r="D102" s="34">
        <f t="shared" ref="D102:I102" si="33">SUM(D99:D101)</f>
        <v>1083.3333333333335</v>
      </c>
      <c r="E102" s="34">
        <f t="shared" si="33"/>
        <v>7352.8</v>
      </c>
      <c r="F102" s="34">
        <f t="shared" si="33"/>
        <v>7426.3279999999995</v>
      </c>
      <c r="G102" s="34">
        <f t="shared" si="33"/>
        <v>7500.5839999999989</v>
      </c>
      <c r="H102" s="34">
        <f t="shared" si="33"/>
        <v>7575.5679999999993</v>
      </c>
      <c r="I102" s="34">
        <f t="shared" si="33"/>
        <v>7651.3527999999988</v>
      </c>
    </row>
    <row r="103" spans="1:9" ht="13.5" thickTop="1">
      <c r="C103" s="133"/>
      <c r="D103" s="134"/>
      <c r="E103" s="134"/>
      <c r="F103" s="134"/>
      <c r="G103" s="134"/>
      <c r="H103" s="134"/>
      <c r="I103" s="134"/>
    </row>
    <row r="104" spans="1:9">
      <c r="C104" s="133"/>
    </row>
    <row r="105" spans="1:9">
      <c r="A105" s="135"/>
      <c r="B105" s="135"/>
      <c r="C105" s="133"/>
      <c r="D105" s="134"/>
      <c r="E105" s="134"/>
      <c r="F105" s="134"/>
      <c r="G105" s="134"/>
      <c r="H105" s="134"/>
      <c r="I105" s="134"/>
    </row>
  </sheetData>
  <sheetProtection password="8318" sheet="1"/>
  <mergeCells count="14">
    <mergeCell ref="A102:C102"/>
    <mergeCell ref="A97:C97"/>
    <mergeCell ref="A94:C94"/>
    <mergeCell ref="A86:C86"/>
    <mergeCell ref="A81:C81"/>
    <mergeCell ref="A83:C83"/>
    <mergeCell ref="A69:C69"/>
    <mergeCell ref="A54:C54"/>
    <mergeCell ref="A66:C66"/>
    <mergeCell ref="A26:C26"/>
    <mergeCell ref="A4:I4"/>
    <mergeCell ref="A11:C11"/>
    <mergeCell ref="A23:C23"/>
    <mergeCell ref="A40:C40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BECA5-B2FC-4612-8EB8-153820BAB03A}">
  <sheetPr codeName="Sheet10">
    <pageSetUpPr fitToPage="1"/>
  </sheetPr>
  <dimension ref="A1:H37"/>
  <sheetViews>
    <sheetView showGridLines="0" showZeros="0" zoomScaleNormal="100" workbookViewId="0">
      <selection activeCell="C10" sqref="C10"/>
    </sheetView>
  </sheetViews>
  <sheetFormatPr defaultColWidth="8.7109375" defaultRowHeight="12.75"/>
  <cols>
    <col min="1" max="1" width="30.85546875" style="67" customWidth="1"/>
    <col min="2" max="2" width="7.5703125" style="67" customWidth="1"/>
    <col min="3" max="13" width="11.42578125" style="67" customWidth="1"/>
    <col min="14" max="16384" width="8.7109375" style="67"/>
  </cols>
  <sheetData>
    <row r="1" spans="1:8" ht="13.5">
      <c r="A1" s="57"/>
      <c r="B1" s="57"/>
      <c r="C1" s="47"/>
      <c r="D1" s="47"/>
      <c r="E1" s="47"/>
      <c r="F1" s="47"/>
      <c r="G1" s="48" t="s">
        <v>26</v>
      </c>
      <c r="H1" s="49" t="str">
        <f>+Pressupostos!E1</f>
        <v>WAITR</v>
      </c>
    </row>
    <row r="2" spans="1:8">
      <c r="A2" s="57"/>
      <c r="B2" s="57"/>
      <c r="C2" s="57"/>
      <c r="D2" s="57"/>
      <c r="E2" s="57"/>
      <c r="F2" s="57"/>
      <c r="G2" s="57"/>
      <c r="H2" s="52" t="str">
        <f>+Pressupostos!B9</f>
        <v>Euros</v>
      </c>
    </row>
    <row r="3" spans="1:8">
      <c r="A3" s="57"/>
      <c r="B3" s="57"/>
      <c r="C3" s="57"/>
      <c r="D3" s="57"/>
      <c r="E3" s="57"/>
      <c r="F3" s="57"/>
      <c r="G3" s="57"/>
      <c r="H3" s="52"/>
    </row>
    <row r="4" spans="1:8" ht="13.5" customHeight="1">
      <c r="A4" s="457" t="s">
        <v>200</v>
      </c>
      <c r="B4" s="457"/>
      <c r="C4" s="457"/>
      <c r="D4" s="457"/>
      <c r="E4" s="457"/>
      <c r="F4" s="457"/>
      <c r="G4" s="457"/>
      <c r="H4" s="457"/>
    </row>
    <row r="5" spans="1:8" ht="12.75" customHeight="1">
      <c r="A5" s="57"/>
      <c r="B5" s="57"/>
      <c r="C5" s="57"/>
      <c r="D5" s="57"/>
      <c r="E5" s="57"/>
      <c r="F5" s="57"/>
      <c r="G5" s="57"/>
      <c r="H5" s="57"/>
    </row>
    <row r="6" spans="1:8">
      <c r="A6" s="57"/>
      <c r="B6" s="112"/>
      <c r="C6" s="57"/>
      <c r="D6" s="57"/>
      <c r="E6" s="57"/>
      <c r="F6" s="57"/>
      <c r="G6" s="57"/>
      <c r="H6" s="57"/>
    </row>
    <row r="7" spans="1:8">
      <c r="A7" s="102"/>
      <c r="B7" s="124"/>
      <c r="C7" s="54">
        <f>+VN!C8</f>
        <v>2024</v>
      </c>
      <c r="D7" s="54">
        <f>+VN!D8</f>
        <v>2025</v>
      </c>
      <c r="E7" s="54">
        <f>+VN!E8</f>
        <v>2026</v>
      </c>
      <c r="F7" s="54">
        <f>+VN!F8</f>
        <v>2027</v>
      </c>
      <c r="G7" s="54">
        <f>+VN!G8</f>
        <v>2028</v>
      </c>
      <c r="H7" s="54">
        <f>+VN!H8</f>
        <v>2029</v>
      </c>
    </row>
    <row r="8" spans="1:8">
      <c r="A8" s="91" t="s">
        <v>201</v>
      </c>
      <c r="B8" s="137"/>
      <c r="C8" s="138"/>
      <c r="D8" s="96"/>
      <c r="E8" s="96"/>
      <c r="F8" s="96"/>
      <c r="G8" s="96"/>
      <c r="H8" s="96"/>
    </row>
    <row r="9" spans="1:8">
      <c r="A9" s="58" t="s">
        <v>202</v>
      </c>
      <c r="B9" s="137"/>
      <c r="C9" s="6">
        <v>5000</v>
      </c>
      <c r="D9" s="108">
        <f>+C9</f>
        <v>5000</v>
      </c>
      <c r="E9" s="108">
        <f>+D9</f>
        <v>5000</v>
      </c>
      <c r="F9" s="108">
        <f>+E9</f>
        <v>5000</v>
      </c>
      <c r="G9" s="108">
        <f>+F9</f>
        <v>5000</v>
      </c>
      <c r="H9" s="108">
        <f>+G9</f>
        <v>5000</v>
      </c>
    </row>
    <row r="10" spans="1:8">
      <c r="A10" s="58" t="s">
        <v>203</v>
      </c>
      <c r="B10" s="137"/>
      <c r="C10" s="108">
        <f>VN!C84*Pressupostos!$C$13/12</f>
        <v>2583</v>
      </c>
      <c r="D10" s="108">
        <f>VN!D84*Pressupostos!$C$13/12</f>
        <v>7923.25</v>
      </c>
      <c r="E10" s="108">
        <f>VN!E84*Pressupostos!$C$13/12</f>
        <v>14751.99375</v>
      </c>
      <c r="F10" s="108">
        <f>VN!F84*Pressupostos!$C$13/12</f>
        <v>28985.766427499999</v>
      </c>
      <c r="G10" s="108">
        <f>VN!G84*Pressupostos!$C$13/12</f>
        <v>57743.867259975006</v>
      </c>
      <c r="H10" s="108">
        <f>VN!H84*Pressupostos!$C$13/12</f>
        <v>100959.97107122476</v>
      </c>
    </row>
    <row r="11" spans="1:8">
      <c r="A11" s="58" t="s">
        <v>204</v>
      </c>
      <c r="B11" s="137"/>
      <c r="C11" s="108">
        <f>CMVMC!C16*Pressupostos!$C$15/12</f>
        <v>885.41666666666663</v>
      </c>
      <c r="D11" s="108">
        <f>CMVMC!D16*Pressupostos!$C$15/12</f>
        <v>2709.375</v>
      </c>
      <c r="E11" s="108">
        <f>CMVMC!E16*Pressupostos!$C$15/12</f>
        <v>5370.5231249999997</v>
      </c>
      <c r="F11" s="108">
        <f>CMVMC!F16*Pressupostos!$C$15/12</f>
        <v>10941.77300625</v>
      </c>
      <c r="G11" s="108">
        <f>CMVMC!G16*Pressupostos!$C$15/12</f>
        <v>22558.4217928125</v>
      </c>
      <c r="H11" s="108">
        <f>CMVMC!H16*Pressupostos!$C$15/12</f>
        <v>39798.15954102562</v>
      </c>
    </row>
    <row r="12" spans="1:8">
      <c r="A12" s="58" t="s">
        <v>205</v>
      </c>
      <c r="B12" s="137"/>
      <c r="C12" s="108">
        <f t="shared" ref="C12:H12" si="0">IF(C30&lt;0,-C30,0)+IF(C31&lt;0,-C31,0)+IF(C32&lt;0,-C32,0)</f>
        <v>7.4270833333333144</v>
      </c>
      <c r="D12" s="108">
        <f t="shared" si="0"/>
        <v>0</v>
      </c>
      <c r="E12" s="108">
        <f t="shared" si="0"/>
        <v>0</v>
      </c>
      <c r="F12" s="108">
        <f t="shared" si="0"/>
        <v>0</v>
      </c>
      <c r="G12" s="108">
        <f t="shared" si="0"/>
        <v>0</v>
      </c>
      <c r="H12" s="108">
        <f t="shared" si="0"/>
        <v>0</v>
      </c>
    </row>
    <row r="13" spans="1:8">
      <c r="A13" s="481" t="s">
        <v>206</v>
      </c>
      <c r="B13" s="482"/>
      <c r="C13" s="38"/>
      <c r="D13" s="38"/>
      <c r="E13" s="38"/>
      <c r="F13" s="38"/>
      <c r="G13" s="38"/>
      <c r="H13" s="38"/>
    </row>
    <row r="14" spans="1:8">
      <c r="A14" s="481" t="s">
        <v>206</v>
      </c>
      <c r="B14" s="482"/>
      <c r="C14" s="38"/>
      <c r="D14" s="38"/>
      <c r="E14" s="38"/>
      <c r="F14" s="38"/>
      <c r="G14" s="38"/>
      <c r="H14" s="38"/>
    </row>
    <row r="15" spans="1:8">
      <c r="A15" s="479" t="s">
        <v>172</v>
      </c>
      <c r="B15" s="480"/>
      <c r="C15" s="139">
        <f t="shared" ref="C15:H15" si="1">SUM(C9:C14)</f>
        <v>8475.84375</v>
      </c>
      <c r="D15" s="139">
        <f t="shared" si="1"/>
        <v>15632.625</v>
      </c>
      <c r="E15" s="139">
        <f t="shared" si="1"/>
        <v>25122.516875000001</v>
      </c>
      <c r="F15" s="139">
        <f t="shared" si="1"/>
        <v>44927.539433749997</v>
      </c>
      <c r="G15" s="139">
        <f t="shared" si="1"/>
        <v>85302.289052787499</v>
      </c>
      <c r="H15" s="139">
        <f t="shared" si="1"/>
        <v>145758.13061225039</v>
      </c>
    </row>
    <row r="16" spans="1:8">
      <c r="A16" s="92" t="s">
        <v>207</v>
      </c>
      <c r="B16" s="137"/>
      <c r="C16" s="140"/>
      <c r="D16" s="141"/>
      <c r="E16" s="141"/>
      <c r="F16" s="141"/>
      <c r="G16" s="141"/>
      <c r="H16" s="141"/>
    </row>
    <row r="17" spans="1:8">
      <c r="A17" s="58" t="s">
        <v>208</v>
      </c>
      <c r="B17" s="137"/>
      <c r="C17" s="108">
        <f>(CMVMC!C20+FSE!F53)*Pressupostos!$C$14/12</f>
        <v>2390.03125</v>
      </c>
      <c r="D17" s="108">
        <f>(CMVMC!D20+FSE!G53)*Pressupostos!$C$14/12</f>
        <v>7188.8947499999995</v>
      </c>
      <c r="E17" s="108">
        <f>(CMVMC!E20+FSE!H53)*Pressupostos!$C$14/12</f>
        <v>12869.641904999999</v>
      </c>
      <c r="F17" s="108">
        <f>(CMVMC!F20+FSE!I53)*Pressupostos!$C$14/12</f>
        <v>24775.435097399997</v>
      </c>
      <c r="G17" s="108">
        <f>(CMVMC!G20+FSE!J53)*Pressupostos!$C$14/12</f>
        <v>48818.292814024499</v>
      </c>
      <c r="H17" s="108">
        <f>(CMVMC!H20+FSE!K53)*Pressupostos!$C$14/12</f>
        <v>84732.753222878149</v>
      </c>
    </row>
    <row r="18" spans="1:8">
      <c r="A18" s="58" t="s">
        <v>205</v>
      </c>
      <c r="B18" s="137"/>
      <c r="C18" s="108">
        <f t="shared" ref="C18:H18" si="2">IF(C30&gt;0,C30,0)+IF(C31&gt;0,C31,0)+IF(C32&gt;0,C32,0)</f>
        <v>414.58333333333337</v>
      </c>
      <c r="D18" s="108">
        <f t="shared" si="2"/>
        <v>1726.0574166666665</v>
      </c>
      <c r="E18" s="108">
        <f t="shared" si="2"/>
        <v>1990.0181183333334</v>
      </c>
      <c r="F18" s="108">
        <f t="shared" si="2"/>
        <v>2525.5548436333338</v>
      </c>
      <c r="G18" s="108">
        <f t="shared" si="2"/>
        <v>3252.0722858681656</v>
      </c>
      <c r="H18" s="108">
        <f t="shared" si="2"/>
        <v>4545.1837562194387</v>
      </c>
    </row>
    <row r="19" spans="1:8">
      <c r="A19" s="481" t="s">
        <v>206</v>
      </c>
      <c r="B19" s="482"/>
      <c r="C19" s="39"/>
      <c r="D19" s="39"/>
      <c r="E19" s="39"/>
      <c r="F19" s="39"/>
      <c r="G19" s="39"/>
      <c r="H19" s="39"/>
    </row>
    <row r="20" spans="1:8" ht="13.5" thickBot="1">
      <c r="A20" s="466" t="s">
        <v>172</v>
      </c>
      <c r="B20" s="467"/>
      <c r="C20" s="142">
        <f t="shared" ref="C20:H20" si="3">+SUM(C17:C19)</f>
        <v>2804.6145833333335</v>
      </c>
      <c r="D20" s="142">
        <f t="shared" si="3"/>
        <v>8914.952166666666</v>
      </c>
      <c r="E20" s="142">
        <f t="shared" si="3"/>
        <v>14859.660023333332</v>
      </c>
      <c r="F20" s="142">
        <f t="shared" si="3"/>
        <v>27300.989941033331</v>
      </c>
      <c r="G20" s="142">
        <f t="shared" si="3"/>
        <v>52070.365099892661</v>
      </c>
      <c r="H20" s="142">
        <f t="shared" si="3"/>
        <v>89277.936979097591</v>
      </c>
    </row>
    <row r="21" spans="1:8" ht="13.5" thickTop="1">
      <c r="A21" s="85"/>
      <c r="B21" s="112"/>
      <c r="C21" s="143"/>
      <c r="D21" s="144"/>
      <c r="E21" s="144"/>
      <c r="F21" s="144"/>
      <c r="G21" s="144"/>
      <c r="H21" s="144"/>
    </row>
    <row r="22" spans="1:8" ht="13.5" thickBot="1">
      <c r="A22" s="145" t="s">
        <v>209</v>
      </c>
      <c r="B22" s="146"/>
      <c r="C22" s="142">
        <f t="shared" ref="C22:H22" si="4">+C15-C20</f>
        <v>5671.2291666666661</v>
      </c>
      <c r="D22" s="142">
        <f t="shared" si="4"/>
        <v>6717.672833333334</v>
      </c>
      <c r="E22" s="142">
        <f t="shared" si="4"/>
        <v>10262.856851666669</v>
      </c>
      <c r="F22" s="142">
        <f t="shared" si="4"/>
        <v>17626.549492716666</v>
      </c>
      <c r="G22" s="142">
        <f t="shared" si="4"/>
        <v>33231.923952894838</v>
      </c>
      <c r="H22" s="142">
        <f t="shared" si="4"/>
        <v>56480.193633152798</v>
      </c>
    </row>
    <row r="23" spans="1:8" ht="13.5" thickTop="1">
      <c r="A23" s="147"/>
      <c r="B23" s="148"/>
      <c r="C23" s="143"/>
      <c r="D23" s="144"/>
      <c r="E23" s="144"/>
      <c r="F23" s="144"/>
      <c r="G23" s="144"/>
      <c r="H23" s="144"/>
    </row>
    <row r="24" spans="1:8" ht="13.5" thickBot="1">
      <c r="A24" s="145" t="s">
        <v>210</v>
      </c>
      <c r="B24" s="146"/>
      <c r="C24" s="142">
        <f>+C22</f>
        <v>5671.2291666666661</v>
      </c>
      <c r="D24" s="142">
        <f>+D22-C22</f>
        <v>1046.4436666666679</v>
      </c>
      <c r="E24" s="142">
        <f>+E22-D22</f>
        <v>3545.1840183333352</v>
      </c>
      <c r="F24" s="142">
        <f>+F22-E22</f>
        <v>7363.6926410499964</v>
      </c>
      <c r="G24" s="142">
        <f>+G22-F22</f>
        <v>15605.374460178173</v>
      </c>
      <c r="H24" s="142">
        <f>+H22-G22</f>
        <v>23248.269680257959</v>
      </c>
    </row>
    <row r="25" spans="1:8" ht="13.5" thickTop="1">
      <c r="A25" s="85"/>
      <c r="B25" s="112"/>
      <c r="C25" s="101"/>
      <c r="D25" s="57"/>
      <c r="E25" s="57"/>
      <c r="F25" s="57"/>
      <c r="G25" s="57"/>
      <c r="H25" s="57"/>
    </row>
    <row r="26" spans="1:8">
      <c r="A26" s="149" t="s">
        <v>211</v>
      </c>
      <c r="B26" s="112"/>
      <c r="C26" s="101"/>
      <c r="D26" s="57"/>
      <c r="E26" s="57"/>
      <c r="F26" s="57"/>
      <c r="G26" s="57"/>
      <c r="H26" s="57"/>
    </row>
    <row r="27" spans="1:8">
      <c r="A27" s="57"/>
      <c r="B27" s="57"/>
      <c r="C27" s="57"/>
      <c r="D27" s="57"/>
      <c r="E27" s="150"/>
      <c r="F27" s="57"/>
      <c r="G27" s="57"/>
      <c r="H27" s="57"/>
    </row>
    <row r="28" spans="1:8">
      <c r="C28" s="151"/>
      <c r="D28" s="151"/>
      <c r="E28" s="151"/>
      <c r="F28" s="151"/>
      <c r="G28" s="151"/>
      <c r="H28" s="151"/>
    </row>
    <row r="29" spans="1:8">
      <c r="A29" s="276" t="s">
        <v>212</v>
      </c>
      <c r="B29" s="278"/>
      <c r="C29" s="279">
        <f t="shared" ref="C29:H29" si="5">+SUM(C30:C32)</f>
        <v>407.15625000000006</v>
      </c>
      <c r="D29" s="279">
        <f t="shared" si="5"/>
        <v>1726.0574166666665</v>
      </c>
      <c r="E29" s="279">
        <f t="shared" si="5"/>
        <v>1990.0181183333334</v>
      </c>
      <c r="F29" s="279">
        <f t="shared" si="5"/>
        <v>2525.5548436333338</v>
      </c>
      <c r="G29" s="279">
        <f t="shared" si="5"/>
        <v>3252.0722858681656</v>
      </c>
      <c r="H29" s="279">
        <f t="shared" si="5"/>
        <v>4545.1837562194387</v>
      </c>
    </row>
    <row r="30" spans="1:8">
      <c r="A30" s="277" t="s">
        <v>213</v>
      </c>
      <c r="B30" s="278"/>
      <c r="C30" s="280">
        <f>('Gastos com Pessoal'!D99+'Gastos com Pessoal'!D100+'Gastos com Pessoal'!D71+'Gastos com Pessoal'!D72)/FSE!F8</f>
        <v>289.58333333333337</v>
      </c>
      <c r="D30" s="280">
        <f>('Gastos com Pessoal'!E99+'Gastos com Pessoal'!E100+'Gastos com Pessoal'!E71+'Gastos com Pessoal'!E72)/FSE!G8</f>
        <v>818.94166666666661</v>
      </c>
      <c r="E30" s="280">
        <f>('Gastos com Pessoal'!F99+'Gastos com Pessoal'!F100+'Gastos com Pessoal'!F71+'Gastos com Pessoal'!F72)/FSE!H8</f>
        <v>827.13108333333332</v>
      </c>
      <c r="F30" s="280">
        <f>('Gastos com Pessoal'!G99+'Gastos com Pessoal'!G100+'Gastos com Pessoal'!G71+'Gastos com Pessoal'!G72)/FSE!I8</f>
        <v>835.40158333333329</v>
      </c>
      <c r="G30" s="280">
        <f>('Gastos com Pessoal'!H99+'Gastos com Pessoal'!H100+'Gastos com Pessoal'!H71+'Gastos com Pessoal'!H72)/FSE!J8</f>
        <v>843.75316666666652</v>
      </c>
      <c r="H30" s="280">
        <f>('Gastos com Pessoal'!I99+'Gastos com Pessoal'!I100+'Gastos com Pessoal'!I71+'Gastos com Pessoal'!I72)/FSE!K8</f>
        <v>852.19394166666655</v>
      </c>
    </row>
    <row r="31" spans="1:8">
      <c r="A31" s="277" t="s">
        <v>214</v>
      </c>
      <c r="B31" s="278"/>
      <c r="C31" s="280">
        <f>'Gastos com Pessoal'!D101/FSE!F8</f>
        <v>125</v>
      </c>
      <c r="D31" s="280">
        <f>'Gastos com Pessoal'!E101/FSE!G8</f>
        <v>353.5</v>
      </c>
      <c r="E31" s="280">
        <f>'Gastos com Pessoal'!F101/FSE!H8</f>
        <v>357.03500000000003</v>
      </c>
      <c r="F31" s="280">
        <f>'Gastos com Pessoal'!G101/FSE!I8</f>
        <v>360.60499999999996</v>
      </c>
      <c r="G31" s="280">
        <f>'Gastos com Pessoal'!H101/FSE!J8</f>
        <v>364.21</v>
      </c>
      <c r="H31" s="280">
        <f>'Gastos com Pessoal'!I101/FSE!K8</f>
        <v>367.85349999999994</v>
      </c>
    </row>
    <row r="32" spans="1:8">
      <c r="A32" s="277" t="s">
        <v>102</v>
      </c>
      <c r="B32" s="278"/>
      <c r="C32" s="280">
        <f>(VN!C82-CMVMC!C18-FSE!F51-Investimento!C31)/4</f>
        <v>-7.4270833333333144</v>
      </c>
      <c r="D32" s="280">
        <f>(VN!D82-CMVMC!D18-FSE!G51-Investimento!D31)/4</f>
        <v>553.61574999999993</v>
      </c>
      <c r="E32" s="280">
        <f>(VN!E82-CMVMC!E18-FSE!H51-Investimento!E31)/4</f>
        <v>805.85203500000011</v>
      </c>
      <c r="F32" s="280">
        <f>(VN!F82-CMVMC!F18-FSE!I51-Investimento!F31)/4</f>
        <v>1329.5482603000005</v>
      </c>
      <c r="G32" s="280">
        <f>(VN!G82-CMVMC!G18-FSE!J51-Investimento!G31)/4</f>
        <v>2044.1091192014992</v>
      </c>
      <c r="H32" s="280">
        <f>(VN!H82-CMVMC!H18-FSE!K51-Investimento!H31)/4</f>
        <v>3325.1363145527721</v>
      </c>
    </row>
    <row r="33" spans="5:5">
      <c r="E33" s="151"/>
    </row>
    <row r="34" spans="5:5">
      <c r="E34" s="151"/>
    </row>
    <row r="35" spans="5:5">
      <c r="E35" s="151"/>
    </row>
    <row r="36" spans="5:5">
      <c r="E36" s="151"/>
    </row>
    <row r="37" spans="5:5">
      <c r="E37" s="151"/>
    </row>
  </sheetData>
  <sheetProtection password="8318" sheet="1"/>
  <mergeCells count="6">
    <mergeCell ref="A4:H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9BB2F-D1C3-480B-8098-3F852B534132}">
  <sheetPr codeName="Folha3"/>
  <dimension ref="A1:H182"/>
  <sheetViews>
    <sheetView showGridLines="0" showZeros="0" tabSelected="1" topLeftCell="A11" zoomScaleNormal="100" workbookViewId="0">
      <selection activeCell="E25" sqref="E25"/>
    </sheetView>
  </sheetViews>
  <sheetFormatPr defaultColWidth="8.7109375" defaultRowHeight="12.75"/>
  <cols>
    <col min="1" max="1" width="35.7109375" style="153" customWidth="1"/>
    <col min="2" max="2" width="8.7109375" style="153" customWidth="1"/>
    <col min="3" max="8" width="9.7109375" style="153" customWidth="1"/>
    <col min="9" max="9" width="3.42578125" style="153" customWidth="1"/>
    <col min="10" max="10" width="2.7109375" style="153" customWidth="1"/>
    <col min="11" max="16384" width="8.7109375" style="153"/>
  </cols>
  <sheetData>
    <row r="1" spans="1:8" s="67" customFormat="1" ht="13.5">
      <c r="A1" s="57"/>
      <c r="B1" s="57"/>
      <c r="C1" s="47"/>
      <c r="D1" s="47"/>
      <c r="E1" s="47"/>
      <c r="F1" s="47"/>
      <c r="G1" s="88" t="s">
        <v>26</v>
      </c>
      <c r="H1" s="89" t="str">
        <f>+Pressupostos!E1</f>
        <v>WAITR</v>
      </c>
    </row>
    <row r="2" spans="1:8" s="67" customFormat="1">
      <c r="A2" s="51"/>
      <c r="B2" s="47"/>
      <c r="C2" s="47"/>
      <c r="D2" s="47"/>
      <c r="E2" s="47"/>
      <c r="F2" s="47"/>
      <c r="G2" s="57"/>
      <c r="H2" s="52" t="str">
        <f>+Pressupostos!B9</f>
        <v>Euros</v>
      </c>
    </row>
    <row r="3" spans="1:8" s="67" customFormat="1">
      <c r="A3" s="51"/>
      <c r="B3" s="47"/>
      <c r="C3" s="47"/>
      <c r="D3" s="47"/>
      <c r="E3" s="47"/>
      <c r="F3" s="47"/>
      <c r="G3" s="57"/>
      <c r="H3" s="52"/>
    </row>
    <row r="4" spans="1:8" s="67" customFormat="1" ht="15.75">
      <c r="A4" s="457" t="s">
        <v>215</v>
      </c>
      <c r="B4" s="457"/>
      <c r="C4" s="457"/>
      <c r="D4" s="457"/>
      <c r="E4" s="457"/>
      <c r="F4" s="457"/>
      <c r="G4" s="457"/>
      <c r="H4" s="457"/>
    </row>
    <row r="5" spans="1:8">
      <c r="A5" s="152"/>
      <c r="B5" s="152"/>
      <c r="C5" s="152"/>
      <c r="D5" s="152"/>
      <c r="E5" s="152"/>
      <c r="F5" s="152"/>
      <c r="G5" s="152"/>
      <c r="H5" s="152"/>
    </row>
    <row r="6" spans="1:8">
      <c r="A6" s="154"/>
      <c r="B6" s="154"/>
      <c r="C6" s="155"/>
      <c r="D6" s="155"/>
      <c r="E6" s="155"/>
      <c r="F6" s="155"/>
      <c r="G6" s="155"/>
      <c r="H6" s="155"/>
    </row>
    <row r="7" spans="1:8">
      <c r="A7" s="488" t="s">
        <v>216</v>
      </c>
      <c r="B7" s="488"/>
      <c r="C7" s="156">
        <f>+VN!C8</f>
        <v>2024</v>
      </c>
      <c r="D7" s="156">
        <f>+VN!D8</f>
        <v>2025</v>
      </c>
      <c r="E7" s="156">
        <f>+VN!E8</f>
        <v>2026</v>
      </c>
      <c r="F7" s="156">
        <f>+VN!F8</f>
        <v>2027</v>
      </c>
      <c r="G7" s="156">
        <f>+VN!G8</f>
        <v>2028</v>
      </c>
      <c r="H7" s="156">
        <f>+VN!H8</f>
        <v>2029</v>
      </c>
    </row>
    <row r="8" spans="1:8">
      <c r="A8" s="157" t="s">
        <v>217</v>
      </c>
      <c r="B8" s="171"/>
      <c r="C8" s="156"/>
      <c r="D8" s="156"/>
      <c r="E8" s="156"/>
      <c r="F8" s="156"/>
      <c r="G8" s="156"/>
      <c r="H8" s="156"/>
    </row>
    <row r="9" spans="1:8">
      <c r="A9" s="284" t="s">
        <v>218</v>
      </c>
      <c r="B9" s="171"/>
      <c r="C9" s="42"/>
      <c r="D9" s="42"/>
      <c r="E9" s="42"/>
      <c r="F9" s="42"/>
      <c r="G9" s="42"/>
      <c r="H9" s="42"/>
    </row>
    <row r="10" spans="1:8">
      <c r="A10" s="284" t="s">
        <v>219</v>
      </c>
      <c r="B10" s="171"/>
      <c r="C10" s="42">
        <v>0</v>
      </c>
      <c r="D10" s="42">
        <v>0</v>
      </c>
      <c r="E10" s="42">
        <v>0</v>
      </c>
      <c r="F10" s="42"/>
      <c r="G10" s="42">
        <v>0</v>
      </c>
      <c r="H10" s="42">
        <v>0</v>
      </c>
    </row>
    <row r="11" spans="1:8">
      <c r="A11" s="284" t="s">
        <v>220</v>
      </c>
      <c r="B11" s="171"/>
      <c r="C11" s="42">
        <v>0</v>
      </c>
      <c r="D11" s="42"/>
      <c r="E11" s="42"/>
      <c r="F11" s="42"/>
      <c r="G11" s="42"/>
      <c r="H11" s="42"/>
    </row>
    <row r="12" spans="1:8">
      <c r="A12" s="485" t="s">
        <v>221</v>
      </c>
      <c r="B12" s="486"/>
      <c r="C12" s="290">
        <f t="shared" ref="C12:H12" si="0">+SUM(C9:C11)</f>
        <v>0</v>
      </c>
      <c r="D12" s="290">
        <f>+SUM(D9:D11)</f>
        <v>0</v>
      </c>
      <c r="E12" s="290">
        <f t="shared" si="0"/>
        <v>0</v>
      </c>
      <c r="F12" s="290">
        <f t="shared" si="0"/>
        <v>0</v>
      </c>
      <c r="G12" s="290">
        <f t="shared" si="0"/>
        <v>0</v>
      </c>
      <c r="H12" s="290">
        <f t="shared" si="0"/>
        <v>0</v>
      </c>
    </row>
    <row r="13" spans="1:8">
      <c r="A13" s="157" t="s">
        <v>222</v>
      </c>
      <c r="B13" s="158"/>
      <c r="C13" s="160"/>
      <c r="D13" s="160"/>
      <c r="E13" s="160"/>
      <c r="F13" s="160"/>
      <c r="G13" s="160"/>
      <c r="H13" s="160"/>
    </row>
    <row r="14" spans="1:8">
      <c r="A14" s="284" t="s">
        <v>223</v>
      </c>
      <c r="B14" s="158"/>
      <c r="C14" s="42"/>
      <c r="D14" s="42"/>
      <c r="E14" s="42"/>
      <c r="F14" s="42"/>
      <c r="G14" s="42"/>
      <c r="H14" s="42"/>
    </row>
    <row r="15" spans="1:8">
      <c r="A15" s="284" t="s">
        <v>224</v>
      </c>
      <c r="B15" s="158"/>
      <c r="C15" s="42"/>
      <c r="D15" s="42"/>
      <c r="E15" s="42"/>
      <c r="F15" s="42"/>
      <c r="G15" s="42"/>
      <c r="H15" s="42"/>
    </row>
    <row r="16" spans="1:8">
      <c r="A16" s="284" t="s">
        <v>225</v>
      </c>
      <c r="B16" s="158"/>
      <c r="C16" s="42">
        <v>3000</v>
      </c>
      <c r="D16" s="42">
        <v>200</v>
      </c>
      <c r="E16" s="42">
        <v>500</v>
      </c>
      <c r="F16" s="42">
        <v>600</v>
      </c>
      <c r="G16" s="42">
        <v>200</v>
      </c>
      <c r="H16" s="42">
        <v>500</v>
      </c>
    </row>
    <row r="17" spans="1:8">
      <c r="A17" s="284" t="s">
        <v>226</v>
      </c>
      <c r="B17" s="158"/>
      <c r="C17" s="42"/>
      <c r="D17" s="42"/>
      <c r="E17" s="42"/>
      <c r="F17" s="42"/>
      <c r="G17" s="42"/>
      <c r="H17" s="42"/>
    </row>
    <row r="18" spans="1:8">
      <c r="A18" s="284" t="s">
        <v>227</v>
      </c>
      <c r="B18" s="158"/>
      <c r="C18" s="42"/>
      <c r="D18" s="42"/>
      <c r="E18" s="42"/>
      <c r="F18" s="42"/>
      <c r="G18" s="42"/>
      <c r="H18" s="42"/>
    </row>
    <row r="19" spans="1:8">
      <c r="A19" s="284" t="s">
        <v>228</v>
      </c>
      <c r="B19" s="158"/>
      <c r="C19" s="42"/>
      <c r="D19" s="42"/>
      <c r="E19" s="42"/>
      <c r="F19" s="42"/>
      <c r="G19" s="42"/>
      <c r="H19" s="42"/>
    </row>
    <row r="20" spans="1:8">
      <c r="A20" s="284" t="s">
        <v>229</v>
      </c>
      <c r="B20" s="158"/>
      <c r="C20" s="42"/>
      <c r="D20" s="42"/>
      <c r="E20" s="42"/>
      <c r="F20" s="42"/>
      <c r="G20" s="42"/>
      <c r="H20" s="42"/>
    </row>
    <row r="21" spans="1:8">
      <c r="A21" s="483" t="s">
        <v>230</v>
      </c>
      <c r="B21" s="484"/>
      <c r="C21" s="161">
        <f t="shared" ref="C21:H21" si="1">+SUM(C14:C20)</f>
        <v>3000</v>
      </c>
      <c r="D21" s="161">
        <f>+SUM(D14:D20)</f>
        <v>200</v>
      </c>
      <c r="E21" s="161">
        <f t="shared" si="1"/>
        <v>500</v>
      </c>
      <c r="F21" s="161">
        <f t="shared" si="1"/>
        <v>600</v>
      </c>
      <c r="G21" s="161">
        <f t="shared" si="1"/>
        <v>200</v>
      </c>
      <c r="H21" s="161">
        <f t="shared" si="1"/>
        <v>500</v>
      </c>
    </row>
    <row r="22" spans="1:8">
      <c r="A22" s="157" t="s">
        <v>231</v>
      </c>
      <c r="B22" s="158"/>
      <c r="C22" s="169"/>
      <c r="D22" s="169"/>
      <c r="E22" s="169"/>
      <c r="F22" s="169"/>
      <c r="G22" s="169"/>
      <c r="H22" s="169"/>
    </row>
    <row r="23" spans="1:8">
      <c r="A23" s="284" t="s">
        <v>232</v>
      </c>
      <c r="B23" s="158"/>
      <c r="C23" s="42"/>
      <c r="D23" s="42"/>
      <c r="E23" s="42"/>
      <c r="F23" s="42"/>
      <c r="G23" s="42"/>
      <c r="H23" s="42"/>
    </row>
    <row r="24" spans="1:8">
      <c r="A24" s="284" t="s">
        <v>233</v>
      </c>
      <c r="B24" s="158"/>
      <c r="C24" s="42">
        <v>10000</v>
      </c>
      <c r="D24" s="42">
        <v>0</v>
      </c>
      <c r="E24" s="42">
        <v>6000</v>
      </c>
      <c r="F24" s="42">
        <v>3000</v>
      </c>
      <c r="G24" s="42"/>
      <c r="H24" s="42"/>
    </row>
    <row r="25" spans="1:8">
      <c r="A25" s="284" t="s">
        <v>234</v>
      </c>
      <c r="B25" s="158"/>
      <c r="C25" s="42">
        <v>150</v>
      </c>
      <c r="D25" s="42">
        <v>150</v>
      </c>
      <c r="E25" s="42">
        <v>150</v>
      </c>
      <c r="F25" s="42">
        <v>150</v>
      </c>
      <c r="G25" s="42">
        <v>150</v>
      </c>
      <c r="H25" s="42">
        <v>150</v>
      </c>
    </row>
    <row r="26" spans="1:8">
      <c r="A26" s="284" t="s">
        <v>235</v>
      </c>
      <c r="B26" s="158"/>
      <c r="C26" s="42"/>
      <c r="D26" s="42"/>
      <c r="E26" s="42"/>
      <c r="F26" s="42"/>
      <c r="G26" s="42"/>
      <c r="H26" s="42"/>
    </row>
    <row r="27" spans="1:8">
      <c r="A27" s="284" t="s">
        <v>236</v>
      </c>
      <c r="B27" s="158"/>
      <c r="C27" s="42"/>
      <c r="D27" s="42"/>
      <c r="E27" s="42"/>
      <c r="F27" s="42"/>
      <c r="G27" s="42"/>
      <c r="H27" s="42"/>
    </row>
    <row r="28" spans="1:8">
      <c r="A28" s="483" t="s">
        <v>237</v>
      </c>
      <c r="B28" s="484"/>
      <c r="C28" s="161">
        <f t="shared" ref="C28:H28" si="2">+SUM(C23:C27)</f>
        <v>10150</v>
      </c>
      <c r="D28" s="161">
        <f t="shared" si="2"/>
        <v>150</v>
      </c>
      <c r="E28" s="161">
        <f t="shared" si="2"/>
        <v>6150</v>
      </c>
      <c r="F28" s="161">
        <f t="shared" si="2"/>
        <v>3150</v>
      </c>
      <c r="G28" s="161">
        <f t="shared" si="2"/>
        <v>150</v>
      </c>
      <c r="H28" s="161">
        <f t="shared" si="2"/>
        <v>150</v>
      </c>
    </row>
    <row r="29" spans="1:8" ht="13.5" thickBot="1">
      <c r="A29" s="496" t="s">
        <v>238</v>
      </c>
      <c r="B29" s="496"/>
      <c r="C29" s="162">
        <f t="shared" ref="C29:H29" si="3">+C12+C21+C28</f>
        <v>13150</v>
      </c>
      <c r="D29" s="162">
        <f t="shared" si="3"/>
        <v>350</v>
      </c>
      <c r="E29" s="162">
        <f t="shared" si="3"/>
        <v>6650</v>
      </c>
      <c r="F29" s="162">
        <f t="shared" si="3"/>
        <v>3750</v>
      </c>
      <c r="G29" s="162">
        <f t="shared" si="3"/>
        <v>350</v>
      </c>
      <c r="H29" s="162">
        <f t="shared" si="3"/>
        <v>650</v>
      </c>
    </row>
    <row r="30" spans="1:8" ht="13.5" thickTop="1">
      <c r="A30" s="163"/>
      <c r="B30" s="163"/>
      <c r="C30" s="164"/>
      <c r="D30" s="164"/>
      <c r="E30" s="164"/>
      <c r="F30" s="164"/>
      <c r="G30" s="164"/>
      <c r="H30" s="164"/>
    </row>
    <row r="31" spans="1:8" ht="13.5" thickBot="1">
      <c r="A31" s="165" t="s">
        <v>102</v>
      </c>
      <c r="B31" s="268">
        <f>+Pressupostos!B21</f>
        <v>0.23</v>
      </c>
      <c r="C31" s="162">
        <f t="shared" ref="C31:H31" si="4">+$B$31*(C16+C18+C20+C25)</f>
        <v>724.5</v>
      </c>
      <c r="D31" s="162">
        <f t="shared" si="4"/>
        <v>80.5</v>
      </c>
      <c r="E31" s="162">
        <f t="shared" si="4"/>
        <v>149.5</v>
      </c>
      <c r="F31" s="162">
        <f t="shared" si="4"/>
        <v>172.5</v>
      </c>
      <c r="G31" s="162">
        <f t="shared" si="4"/>
        <v>80.5</v>
      </c>
      <c r="H31" s="162">
        <f t="shared" si="4"/>
        <v>149.5</v>
      </c>
    </row>
    <row r="32" spans="1:8" ht="13.5" thickTop="1">
      <c r="A32" s="166"/>
      <c r="B32" s="167"/>
      <c r="C32" s="168"/>
      <c r="D32" s="168"/>
      <c r="E32" s="168"/>
      <c r="F32" s="168"/>
      <c r="G32" s="168"/>
      <c r="H32" s="168"/>
    </row>
    <row r="33" spans="1:8">
      <c r="A33" s="488" t="s">
        <v>239</v>
      </c>
      <c r="B33" s="488"/>
      <c r="C33" s="156">
        <f t="shared" ref="C33:H33" si="5">+C7</f>
        <v>2024</v>
      </c>
      <c r="D33" s="156">
        <f t="shared" si="5"/>
        <v>2025</v>
      </c>
      <c r="E33" s="156">
        <f t="shared" si="5"/>
        <v>2026</v>
      </c>
      <c r="F33" s="156">
        <f t="shared" si="5"/>
        <v>2027</v>
      </c>
      <c r="G33" s="156">
        <f t="shared" si="5"/>
        <v>2028</v>
      </c>
      <c r="H33" s="156">
        <f t="shared" si="5"/>
        <v>2029</v>
      </c>
    </row>
    <row r="34" spans="1:8">
      <c r="A34" s="157" t="s">
        <v>217</v>
      </c>
      <c r="B34" s="171"/>
      <c r="C34" s="291"/>
      <c r="D34" s="291"/>
      <c r="E34" s="291"/>
      <c r="F34" s="291"/>
      <c r="G34" s="291"/>
      <c r="H34" s="291"/>
    </row>
    <row r="35" spans="1:8">
      <c r="A35" s="284" t="s">
        <v>218</v>
      </c>
      <c r="B35" s="171"/>
      <c r="C35" s="288">
        <f>+C9</f>
        <v>0</v>
      </c>
      <c r="D35" s="288">
        <f>+C35+D9</f>
        <v>0</v>
      </c>
      <c r="E35" s="288">
        <f>+D35+E9</f>
        <v>0</v>
      </c>
      <c r="F35" s="288">
        <f>+E35+F9</f>
        <v>0</v>
      </c>
      <c r="G35" s="288">
        <f>+F35+G9</f>
        <v>0</v>
      </c>
      <c r="H35" s="288">
        <f>+G35+H9</f>
        <v>0</v>
      </c>
    </row>
    <row r="36" spans="1:8">
      <c r="A36" s="284" t="s">
        <v>219</v>
      </c>
      <c r="B36" s="171"/>
      <c r="C36" s="288">
        <f>+C10</f>
        <v>0</v>
      </c>
      <c r="D36" s="288">
        <f t="shared" ref="D36:H37" si="6">+C36+D10</f>
        <v>0</v>
      </c>
      <c r="E36" s="288">
        <f t="shared" si="6"/>
        <v>0</v>
      </c>
      <c r="F36" s="288">
        <f t="shared" si="6"/>
        <v>0</v>
      </c>
      <c r="G36" s="288">
        <f t="shared" si="6"/>
        <v>0</v>
      </c>
      <c r="H36" s="288">
        <f t="shared" si="6"/>
        <v>0</v>
      </c>
    </row>
    <row r="37" spans="1:8">
      <c r="A37" s="284" t="s">
        <v>220</v>
      </c>
      <c r="B37" s="171"/>
      <c r="C37" s="288">
        <f>+C11</f>
        <v>0</v>
      </c>
      <c r="D37" s="288">
        <f t="shared" si="6"/>
        <v>0</v>
      </c>
      <c r="E37" s="288">
        <f t="shared" si="6"/>
        <v>0</v>
      </c>
      <c r="F37" s="288">
        <f t="shared" si="6"/>
        <v>0</v>
      </c>
      <c r="G37" s="288">
        <f t="shared" si="6"/>
        <v>0</v>
      </c>
      <c r="H37" s="288">
        <f t="shared" si="6"/>
        <v>0</v>
      </c>
    </row>
    <row r="38" spans="1:8">
      <c r="A38" s="485" t="s">
        <v>221</v>
      </c>
      <c r="B38" s="486"/>
      <c r="C38" s="287">
        <f t="shared" ref="C38:H38" si="7">+SUM(C35:C37)</f>
        <v>0</v>
      </c>
      <c r="D38" s="287">
        <f t="shared" si="7"/>
        <v>0</v>
      </c>
      <c r="E38" s="287">
        <f t="shared" si="7"/>
        <v>0</v>
      </c>
      <c r="F38" s="287">
        <f t="shared" si="7"/>
        <v>0</v>
      </c>
      <c r="G38" s="287">
        <f t="shared" si="7"/>
        <v>0</v>
      </c>
      <c r="H38" s="287">
        <f t="shared" si="7"/>
        <v>0</v>
      </c>
    </row>
    <row r="39" spans="1:8">
      <c r="A39" s="157" t="s">
        <v>222</v>
      </c>
      <c r="B39" s="158"/>
      <c r="C39" s="287"/>
      <c r="D39" s="287"/>
      <c r="E39" s="287"/>
      <c r="F39" s="287"/>
      <c r="G39" s="287"/>
      <c r="H39" s="287"/>
    </row>
    <row r="40" spans="1:8">
      <c r="A40" s="159" t="s">
        <v>240</v>
      </c>
      <c r="B40" s="158"/>
      <c r="C40" s="287">
        <f>+C14</f>
        <v>0</v>
      </c>
      <c r="D40" s="287">
        <f t="shared" ref="D40:H44" si="8">+C40+D14</f>
        <v>0</v>
      </c>
      <c r="E40" s="287">
        <f t="shared" si="8"/>
        <v>0</v>
      </c>
      <c r="F40" s="287">
        <f t="shared" si="8"/>
        <v>0</v>
      </c>
      <c r="G40" s="287">
        <f t="shared" si="8"/>
        <v>0</v>
      </c>
      <c r="H40" s="287">
        <f t="shared" si="8"/>
        <v>0</v>
      </c>
    </row>
    <row r="41" spans="1:8">
      <c r="A41" s="159" t="s">
        <v>241</v>
      </c>
      <c r="B41" s="158"/>
      <c r="C41" s="288">
        <f t="shared" ref="C41:C46" si="9">+C15</f>
        <v>0</v>
      </c>
      <c r="D41" s="288">
        <f t="shared" si="8"/>
        <v>0</v>
      </c>
      <c r="E41" s="288">
        <f t="shared" si="8"/>
        <v>0</v>
      </c>
      <c r="F41" s="288">
        <f t="shared" si="8"/>
        <v>0</v>
      </c>
      <c r="G41" s="288">
        <f t="shared" si="8"/>
        <v>0</v>
      </c>
      <c r="H41" s="288">
        <f t="shared" si="8"/>
        <v>0</v>
      </c>
    </row>
    <row r="42" spans="1:8">
      <c r="A42" s="159" t="s">
        <v>242</v>
      </c>
      <c r="B42" s="158"/>
      <c r="C42" s="288">
        <f t="shared" si="9"/>
        <v>3000</v>
      </c>
      <c r="D42" s="288">
        <f t="shared" si="8"/>
        <v>3200</v>
      </c>
      <c r="E42" s="288">
        <f t="shared" si="8"/>
        <v>3700</v>
      </c>
      <c r="F42" s="288">
        <f t="shared" si="8"/>
        <v>4300</v>
      </c>
      <c r="G42" s="288">
        <f t="shared" si="8"/>
        <v>4500</v>
      </c>
      <c r="H42" s="288">
        <f t="shared" si="8"/>
        <v>5000</v>
      </c>
    </row>
    <row r="43" spans="1:8">
      <c r="A43" s="159" t="s">
        <v>243</v>
      </c>
      <c r="B43" s="158"/>
      <c r="C43" s="288">
        <f t="shared" si="9"/>
        <v>0</v>
      </c>
      <c r="D43" s="288">
        <f t="shared" si="8"/>
        <v>0</v>
      </c>
      <c r="E43" s="288">
        <f t="shared" si="8"/>
        <v>0</v>
      </c>
      <c r="F43" s="288">
        <f t="shared" si="8"/>
        <v>0</v>
      </c>
      <c r="G43" s="288">
        <f t="shared" si="8"/>
        <v>0</v>
      </c>
      <c r="H43" s="288">
        <f t="shared" si="8"/>
        <v>0</v>
      </c>
    </row>
    <row r="44" spans="1:8">
      <c r="A44" s="159" t="s">
        <v>244</v>
      </c>
      <c r="B44" s="158"/>
      <c r="C44" s="288">
        <f t="shared" si="9"/>
        <v>0</v>
      </c>
      <c r="D44" s="288">
        <f t="shared" si="8"/>
        <v>0</v>
      </c>
      <c r="E44" s="288">
        <f t="shared" si="8"/>
        <v>0</v>
      </c>
      <c r="F44" s="288">
        <f t="shared" si="8"/>
        <v>0</v>
      </c>
      <c r="G44" s="288">
        <f t="shared" si="8"/>
        <v>0</v>
      </c>
      <c r="H44" s="288">
        <f t="shared" si="8"/>
        <v>0</v>
      </c>
    </row>
    <row r="45" spans="1:8">
      <c r="A45" s="159" t="s">
        <v>245</v>
      </c>
      <c r="B45" s="158"/>
      <c r="C45" s="288">
        <f t="shared" si="9"/>
        <v>0</v>
      </c>
      <c r="D45" s="288">
        <f t="shared" ref="D45:H46" si="10">+C45+D19</f>
        <v>0</v>
      </c>
      <c r="E45" s="288">
        <f t="shared" si="10"/>
        <v>0</v>
      </c>
      <c r="F45" s="288">
        <f t="shared" si="10"/>
        <v>0</v>
      </c>
      <c r="G45" s="288">
        <f t="shared" si="10"/>
        <v>0</v>
      </c>
      <c r="H45" s="288">
        <f t="shared" si="10"/>
        <v>0</v>
      </c>
    </row>
    <row r="46" spans="1:8">
      <c r="A46" s="159" t="s">
        <v>246</v>
      </c>
      <c r="B46" s="158"/>
      <c r="C46" s="288">
        <f t="shared" si="9"/>
        <v>0</v>
      </c>
      <c r="D46" s="288">
        <f t="shared" si="10"/>
        <v>0</v>
      </c>
      <c r="E46" s="288">
        <f t="shared" si="10"/>
        <v>0</v>
      </c>
      <c r="F46" s="288">
        <f t="shared" si="10"/>
        <v>0</v>
      </c>
      <c r="G46" s="288">
        <f t="shared" si="10"/>
        <v>0</v>
      </c>
      <c r="H46" s="288">
        <f t="shared" si="10"/>
        <v>0</v>
      </c>
    </row>
    <row r="47" spans="1:8">
      <c r="A47" s="483" t="s">
        <v>230</v>
      </c>
      <c r="B47" s="484"/>
      <c r="C47" s="289">
        <f t="shared" ref="C47:H47" si="11">+SUM(C40:C46)</f>
        <v>3000</v>
      </c>
      <c r="D47" s="289">
        <f t="shared" si="11"/>
        <v>3200</v>
      </c>
      <c r="E47" s="289">
        <f t="shared" si="11"/>
        <v>3700</v>
      </c>
      <c r="F47" s="289">
        <f t="shared" si="11"/>
        <v>4300</v>
      </c>
      <c r="G47" s="289">
        <f t="shared" si="11"/>
        <v>4500</v>
      </c>
      <c r="H47" s="289">
        <f t="shared" si="11"/>
        <v>5000</v>
      </c>
    </row>
    <row r="48" spans="1:8">
      <c r="A48" s="157" t="s">
        <v>231</v>
      </c>
      <c r="B48" s="158"/>
      <c r="C48" s="289"/>
      <c r="D48" s="289"/>
      <c r="E48" s="289"/>
      <c r="F48" s="289"/>
      <c r="G48" s="289"/>
      <c r="H48" s="289"/>
    </row>
    <row r="49" spans="1:8">
      <c r="A49" s="284" t="s">
        <v>232</v>
      </c>
      <c r="B49" s="158"/>
      <c r="C49" s="169">
        <f>+C23</f>
        <v>0</v>
      </c>
      <c r="D49" s="169">
        <f t="shared" ref="D49:H51" si="12">+C49+D23</f>
        <v>0</v>
      </c>
      <c r="E49" s="169">
        <f t="shared" si="12"/>
        <v>0</v>
      </c>
      <c r="F49" s="169">
        <f t="shared" si="12"/>
        <v>0</v>
      </c>
      <c r="G49" s="169">
        <f t="shared" si="12"/>
        <v>0</v>
      </c>
      <c r="H49" s="169">
        <f t="shared" si="12"/>
        <v>0</v>
      </c>
    </row>
    <row r="50" spans="1:8">
      <c r="A50" s="284" t="s">
        <v>233</v>
      </c>
      <c r="B50" s="158"/>
      <c r="C50" s="169">
        <f>+C24</f>
        <v>10000</v>
      </c>
      <c r="D50" s="169">
        <f t="shared" si="12"/>
        <v>10000</v>
      </c>
      <c r="E50" s="169">
        <f t="shared" si="12"/>
        <v>16000</v>
      </c>
      <c r="F50" s="169">
        <f t="shared" si="12"/>
        <v>19000</v>
      </c>
      <c r="G50" s="169">
        <f t="shared" si="12"/>
        <v>19000</v>
      </c>
      <c r="H50" s="169">
        <f t="shared" si="12"/>
        <v>19000</v>
      </c>
    </row>
    <row r="51" spans="1:8">
      <c r="A51" s="284" t="s">
        <v>234</v>
      </c>
      <c r="B51" s="158"/>
      <c r="C51" s="169">
        <f>+C25</f>
        <v>150</v>
      </c>
      <c r="D51" s="169">
        <f t="shared" si="12"/>
        <v>300</v>
      </c>
      <c r="E51" s="169">
        <f t="shared" si="12"/>
        <v>450</v>
      </c>
      <c r="F51" s="169">
        <f t="shared" si="12"/>
        <v>600</v>
      </c>
      <c r="G51" s="169">
        <f t="shared" si="12"/>
        <v>750</v>
      </c>
      <c r="H51" s="169">
        <f t="shared" si="12"/>
        <v>900</v>
      </c>
    </row>
    <row r="52" spans="1:8">
      <c r="A52" s="284" t="s">
        <v>235</v>
      </c>
      <c r="B52" s="158"/>
      <c r="C52" s="169">
        <f>+C26</f>
        <v>0</v>
      </c>
      <c r="D52" s="169">
        <f t="shared" ref="D52:H53" si="13">+C52+D26</f>
        <v>0</v>
      </c>
      <c r="E52" s="169">
        <f t="shared" si="13"/>
        <v>0</v>
      </c>
      <c r="F52" s="169">
        <f t="shared" si="13"/>
        <v>0</v>
      </c>
      <c r="G52" s="169">
        <f t="shared" si="13"/>
        <v>0</v>
      </c>
      <c r="H52" s="169">
        <f t="shared" si="13"/>
        <v>0</v>
      </c>
    </row>
    <row r="53" spans="1:8">
      <c r="A53" s="284" t="s">
        <v>236</v>
      </c>
      <c r="B53" s="158"/>
      <c r="C53" s="169">
        <f>+C27</f>
        <v>0</v>
      </c>
      <c r="D53" s="169">
        <f t="shared" si="13"/>
        <v>0</v>
      </c>
      <c r="E53" s="169">
        <f t="shared" si="13"/>
        <v>0</v>
      </c>
      <c r="F53" s="169">
        <f t="shared" si="13"/>
        <v>0</v>
      </c>
      <c r="G53" s="169">
        <f t="shared" si="13"/>
        <v>0</v>
      </c>
      <c r="H53" s="169">
        <f t="shared" si="13"/>
        <v>0</v>
      </c>
    </row>
    <row r="54" spans="1:8">
      <c r="A54" s="483" t="s">
        <v>237</v>
      </c>
      <c r="B54" s="484"/>
      <c r="C54" s="289">
        <f t="shared" ref="C54:H54" si="14">+SUM(C49:C53)</f>
        <v>10150</v>
      </c>
      <c r="D54" s="289">
        <f t="shared" si="14"/>
        <v>10300</v>
      </c>
      <c r="E54" s="289">
        <f t="shared" si="14"/>
        <v>16450</v>
      </c>
      <c r="F54" s="289">
        <f t="shared" si="14"/>
        <v>19600</v>
      </c>
      <c r="G54" s="289">
        <f t="shared" si="14"/>
        <v>19750</v>
      </c>
      <c r="H54" s="289">
        <f t="shared" si="14"/>
        <v>19900</v>
      </c>
    </row>
    <row r="55" spans="1:8" ht="13.5" thickBot="1">
      <c r="A55" s="496" t="s">
        <v>247</v>
      </c>
      <c r="B55" s="496"/>
      <c r="C55" s="162">
        <f t="shared" ref="C55:H55" si="15">+C38+C47+C54</f>
        <v>13150</v>
      </c>
      <c r="D55" s="162">
        <f t="shared" si="15"/>
        <v>13500</v>
      </c>
      <c r="E55" s="162">
        <f t="shared" si="15"/>
        <v>20150</v>
      </c>
      <c r="F55" s="162">
        <f t="shared" si="15"/>
        <v>23900</v>
      </c>
      <c r="G55" s="162">
        <f t="shared" si="15"/>
        <v>24250</v>
      </c>
      <c r="H55" s="162">
        <f t="shared" si="15"/>
        <v>24900</v>
      </c>
    </row>
    <row r="56" spans="1:8" ht="13.5" thickTop="1">
      <c r="A56" s="167"/>
      <c r="B56" s="167"/>
      <c r="C56" s="168"/>
      <c r="D56" s="168"/>
      <c r="E56" s="168"/>
      <c r="F56" s="168"/>
      <c r="G56" s="168"/>
      <c r="H56" s="168"/>
    </row>
    <row r="57" spans="1:8">
      <c r="A57" s="167"/>
      <c r="B57" s="167"/>
      <c r="C57" s="168"/>
      <c r="D57" s="168"/>
      <c r="E57" s="168"/>
      <c r="F57" s="168"/>
      <c r="G57" s="168"/>
      <c r="H57" s="168"/>
    </row>
    <row r="58" spans="1:8">
      <c r="A58" s="489" t="s">
        <v>248</v>
      </c>
      <c r="B58" s="490"/>
      <c r="C58" s="491"/>
      <c r="D58" s="168"/>
      <c r="E58" s="168"/>
      <c r="F58" s="168"/>
      <c r="G58" s="168"/>
      <c r="H58" s="168"/>
    </row>
    <row r="59" spans="1:8">
      <c r="A59" s="293" t="s">
        <v>217</v>
      </c>
      <c r="B59" s="294"/>
      <c r="C59" s="295"/>
      <c r="D59" s="168"/>
      <c r="E59" s="168"/>
      <c r="F59" s="168"/>
      <c r="G59" s="168"/>
      <c r="H59" s="168"/>
    </row>
    <row r="60" spans="1:8">
      <c r="A60" s="284" t="s">
        <v>219</v>
      </c>
      <c r="B60" s="158"/>
      <c r="C60" s="423">
        <v>0.25</v>
      </c>
      <c r="D60" s="168"/>
      <c r="E60" s="168"/>
      <c r="F60" s="168"/>
      <c r="G60" s="168"/>
      <c r="H60" s="168"/>
    </row>
    <row r="61" spans="1:8">
      <c r="A61" s="284" t="s">
        <v>220</v>
      </c>
      <c r="B61" s="158"/>
      <c r="C61" s="423">
        <v>0.2</v>
      </c>
      <c r="D61" s="168"/>
      <c r="E61" s="168"/>
      <c r="F61" s="168"/>
      <c r="G61" s="168"/>
      <c r="H61" s="168"/>
    </row>
    <row r="62" spans="1:8">
      <c r="A62" s="157" t="s">
        <v>222</v>
      </c>
      <c r="B62" s="158"/>
      <c r="C62" s="424"/>
      <c r="D62" s="168"/>
      <c r="E62" s="168"/>
      <c r="F62" s="168"/>
      <c r="G62" s="168"/>
      <c r="H62" s="168"/>
    </row>
    <row r="63" spans="1:8">
      <c r="A63" s="284" t="s">
        <v>224</v>
      </c>
      <c r="B63" s="158"/>
      <c r="C63" s="423">
        <v>0.2</v>
      </c>
      <c r="D63" s="168"/>
      <c r="E63" s="168"/>
      <c r="F63" s="168"/>
      <c r="G63" s="168"/>
      <c r="H63" s="168"/>
    </row>
    <row r="64" spans="1:8">
      <c r="A64" s="284" t="s">
        <v>225</v>
      </c>
      <c r="B64" s="158"/>
      <c r="C64" s="423">
        <v>0.25</v>
      </c>
      <c r="D64" s="168"/>
      <c r="E64" s="168"/>
      <c r="F64" s="168"/>
      <c r="G64" s="168"/>
      <c r="H64" s="168"/>
    </row>
    <row r="65" spans="1:8">
      <c r="A65" s="284" t="s">
        <v>226</v>
      </c>
      <c r="B65" s="158"/>
      <c r="C65" s="423">
        <v>0.2</v>
      </c>
      <c r="D65" s="168"/>
      <c r="E65" s="168"/>
      <c r="F65" s="168"/>
      <c r="G65" s="168"/>
      <c r="H65" s="168"/>
    </row>
    <row r="66" spans="1:8">
      <c r="A66" s="284" t="s">
        <v>227</v>
      </c>
      <c r="B66" s="158"/>
      <c r="C66" s="423">
        <v>0.25</v>
      </c>
      <c r="D66" s="168"/>
      <c r="E66" s="168"/>
      <c r="F66" s="168"/>
      <c r="G66" s="168"/>
      <c r="H66" s="168"/>
    </row>
    <row r="67" spans="1:8">
      <c r="A67" s="284" t="s">
        <v>228</v>
      </c>
      <c r="B67" s="158"/>
      <c r="C67" s="423">
        <v>0.25</v>
      </c>
      <c r="D67" s="168"/>
      <c r="E67" s="168"/>
      <c r="F67" s="168"/>
      <c r="G67" s="168"/>
      <c r="H67" s="168"/>
    </row>
    <row r="68" spans="1:8">
      <c r="A68" s="284" t="s">
        <v>229</v>
      </c>
      <c r="B68" s="158"/>
      <c r="C68" s="423">
        <v>0.25</v>
      </c>
      <c r="D68" s="168"/>
      <c r="E68" s="168"/>
      <c r="F68" s="168"/>
      <c r="G68" s="168"/>
      <c r="H68" s="168"/>
    </row>
    <row r="69" spans="1:8">
      <c r="A69" s="157" t="s">
        <v>231</v>
      </c>
      <c r="B69" s="158"/>
      <c r="C69" s="424"/>
      <c r="D69" s="168"/>
      <c r="E69" s="168"/>
      <c r="F69" s="168"/>
      <c r="G69" s="168"/>
      <c r="H69" s="168"/>
    </row>
    <row r="70" spans="1:8">
      <c r="A70" s="284" t="s">
        <v>233</v>
      </c>
      <c r="B70" s="158"/>
      <c r="C70" s="425">
        <v>0.33333000000000002</v>
      </c>
      <c r="D70" s="426" t="s">
        <v>249</v>
      </c>
      <c r="E70" s="168"/>
      <c r="F70" s="168"/>
      <c r="G70" s="168"/>
      <c r="H70" s="168"/>
    </row>
    <row r="71" spans="1:8">
      <c r="A71" s="284" t="s">
        <v>234</v>
      </c>
      <c r="B71" s="158"/>
      <c r="C71" s="425">
        <f>100%/3</f>
        <v>0.33333333333333331</v>
      </c>
      <c r="D71" s="168"/>
      <c r="E71" s="168"/>
      <c r="F71" s="168"/>
      <c r="G71" s="168"/>
      <c r="H71" s="168"/>
    </row>
    <row r="72" spans="1:8">
      <c r="A72" s="284" t="s">
        <v>235</v>
      </c>
      <c r="B72" s="158"/>
      <c r="C72" s="425">
        <v>0.2</v>
      </c>
      <c r="D72" s="168"/>
      <c r="E72" s="168"/>
      <c r="F72" s="168"/>
      <c r="G72" s="168"/>
      <c r="H72" s="168"/>
    </row>
    <row r="73" spans="1:8">
      <c r="A73" s="284" t="s">
        <v>236</v>
      </c>
      <c r="B73" s="158"/>
      <c r="C73" s="425">
        <f>100%/3</f>
        <v>0.33333333333333331</v>
      </c>
      <c r="D73" s="168"/>
      <c r="E73" s="168"/>
      <c r="F73" s="168"/>
      <c r="G73" s="168"/>
      <c r="H73" s="168"/>
    </row>
    <row r="74" spans="1:8">
      <c r="A74" s="167"/>
      <c r="B74" s="167"/>
      <c r="C74" s="168"/>
      <c r="D74" s="168"/>
      <c r="E74" s="168"/>
      <c r="F74" s="168"/>
      <c r="G74" s="168"/>
      <c r="H74" s="168"/>
    </row>
    <row r="75" spans="1:8">
      <c r="A75" s="361" t="s">
        <v>250</v>
      </c>
      <c r="B75" s="158"/>
      <c r="C75" s="362">
        <f>+FSE!F8</f>
        <v>5</v>
      </c>
      <c r="D75" s="168"/>
      <c r="E75" s="168"/>
      <c r="F75" s="168"/>
      <c r="G75" s="168"/>
      <c r="H75" s="168"/>
    </row>
    <row r="76" spans="1:8">
      <c r="A76" s="167"/>
      <c r="B76" s="167"/>
      <c r="C76" s="168"/>
      <c r="D76" s="168"/>
      <c r="E76" s="168"/>
      <c r="F76" s="168"/>
      <c r="G76" s="168"/>
      <c r="H76" s="168"/>
    </row>
    <row r="77" spans="1:8" hidden="1">
      <c r="A77" s="170" t="s">
        <v>251</v>
      </c>
      <c r="B77" s="171"/>
      <c r="C77" s="156">
        <f>+C7</f>
        <v>2024</v>
      </c>
      <c r="D77" s="156">
        <f>+C77+1</f>
        <v>2025</v>
      </c>
      <c r="E77" s="156">
        <f>+D77+1</f>
        <v>2026</v>
      </c>
      <c r="F77" s="156">
        <f>+E77+1</f>
        <v>2027</v>
      </c>
      <c r="G77" s="156">
        <f>+F77+1</f>
        <v>2028</v>
      </c>
      <c r="H77" s="156">
        <f>+G77+1</f>
        <v>2029</v>
      </c>
    </row>
    <row r="78" spans="1:8" hidden="1">
      <c r="A78" s="299" t="s">
        <v>217</v>
      </c>
      <c r="B78" s="388"/>
      <c r="C78" s="427"/>
      <c r="D78" s="427"/>
      <c r="E78" s="427"/>
      <c r="F78" s="427"/>
      <c r="G78" s="427"/>
      <c r="H78" s="427"/>
    </row>
    <row r="79" spans="1:8" hidden="1">
      <c r="A79" s="390" t="s">
        <v>219</v>
      </c>
      <c r="B79" s="391">
        <f>+C60</f>
        <v>0.25</v>
      </c>
      <c r="C79" s="392">
        <f t="shared" ref="C79:H79" si="16">SUM(C80:C85)</f>
        <v>0</v>
      </c>
      <c r="D79" s="392">
        <f t="shared" si="16"/>
        <v>0</v>
      </c>
      <c r="E79" s="392">
        <f t="shared" si="16"/>
        <v>0</v>
      </c>
      <c r="F79" s="392">
        <f t="shared" si="16"/>
        <v>0</v>
      </c>
      <c r="G79" s="392">
        <f t="shared" si="16"/>
        <v>0</v>
      </c>
      <c r="H79" s="392">
        <f t="shared" si="16"/>
        <v>0</v>
      </c>
    </row>
    <row r="80" spans="1:8" hidden="1">
      <c r="A80" s="390">
        <f>C77</f>
        <v>2024</v>
      </c>
      <c r="B80" s="391"/>
      <c r="C80" s="392">
        <f>+IF(C$10&lt;0,0,C$10*$B$79)/12*C75</f>
        <v>0</v>
      </c>
      <c r="D80" s="392">
        <f>+IF(C80=0,0,+IF(ROUNDUP(SUM($C80:C80),0)&lt;$C$10,$C$10*$B$79,0))</f>
        <v>0</v>
      </c>
      <c r="E80" s="392">
        <f>+IF(D80=0,0,+IF(ROUNDUP(SUM($C80:D80),0)&lt;$C$10,$C$10*$B$79,0))</f>
        <v>0</v>
      </c>
      <c r="F80" s="392">
        <f>+IF(E80=0,0,+IF(ROUNDUP(SUM($C80:E80),0)&lt;$C$10,MIN(($C10-SUM($C80:E80)),$C$10*$B$79),0))</f>
        <v>0</v>
      </c>
      <c r="G80" s="392">
        <f>+IF(F80=0,0,+IF(ROUNDUP(SUM($C80:F80),0)&lt;$C$10,MIN(($C10-SUM($C80:F80)),$C$10*$B$79),0))</f>
        <v>0</v>
      </c>
      <c r="H80" s="392">
        <f>+IF(G80=0,0,+IF(ROUNDUP(SUM($C80:G80),0)&lt;$C$10,MIN(($C10-SUM($C80:G80)),$C$10*$B$79),0))</f>
        <v>0</v>
      </c>
    </row>
    <row r="81" spans="1:8" hidden="1">
      <c r="A81" s="390">
        <f>A80+1</f>
        <v>2025</v>
      </c>
      <c r="B81" s="391"/>
      <c r="C81" s="392"/>
      <c r="D81" s="392">
        <f>+IF(D$10&lt;0,0,D$10*$B$79)</f>
        <v>0</v>
      </c>
      <c r="E81" s="392">
        <f>+IF(D81=0,0,+IF(ROUNDUP(SUM($D81:D81),0)&lt;$D$10,$D$10*$B$79,0))</f>
        <v>0</v>
      </c>
      <c r="F81" s="392">
        <f>+IF(E81=0,0,+IF(ROUNDUP(SUM($D81:E81),0)&lt;$D$10,$D$10*$B$79,0))</f>
        <v>0</v>
      </c>
      <c r="G81" s="392">
        <f>+IF(F81=0,0,+IF(ROUNDUP(SUM($D81:F81),0)&lt;$D$10,$D$10*$B$79,0))</f>
        <v>0</v>
      </c>
      <c r="H81" s="392">
        <f>+IF(G81=0,0,+IF(ROUNDUP(SUM($D81:G81),0)&lt;$D$10,$D$10*$B$79,0))</f>
        <v>0</v>
      </c>
    </row>
    <row r="82" spans="1:8" hidden="1">
      <c r="A82" s="390">
        <f>A81+1</f>
        <v>2026</v>
      </c>
      <c r="B82" s="391"/>
      <c r="C82" s="392"/>
      <c r="D82" s="392"/>
      <c r="E82" s="392">
        <f>+IF(E$10&lt;0,0,E$10*$B$79)</f>
        <v>0</v>
      </c>
      <c r="F82" s="392">
        <f>+IF(E82=0,0,+IF(ROUNDUP(SUM($E82:E82),0)&lt;$E$10,$E$10*$B$79,0))</f>
        <v>0</v>
      </c>
      <c r="G82" s="392">
        <f>+IF(F82=0,0,+IF(ROUNDUP(SUM($E82:F82),0)&lt;$E$10,$E$10*$B$79,0))</f>
        <v>0</v>
      </c>
      <c r="H82" s="392">
        <f>+IF(G82=0,0,+IF(ROUNDUP(SUM($E82:G82),0)&lt;$E$10,$E$10*$B$79,0))</f>
        <v>0</v>
      </c>
    </row>
    <row r="83" spans="1:8" hidden="1">
      <c r="A83" s="390">
        <f>A82+1</f>
        <v>2027</v>
      </c>
      <c r="B83" s="391"/>
      <c r="C83" s="392"/>
      <c r="D83" s="392"/>
      <c r="E83" s="392"/>
      <c r="F83" s="392">
        <f>+IF(F$10&lt;0,0,F$10*$B$79)</f>
        <v>0</v>
      </c>
      <c r="G83" s="392">
        <f>+IF(F83=0,0,+IF(ROUNDUP(SUM($F83:F83),0)&lt;$F$10,$F$10*$B$79,0))</f>
        <v>0</v>
      </c>
      <c r="H83" s="392">
        <f>+IF(G83=0,0,+IF(ROUNDUP(SUM($F83:G83),0)&lt;$F$10,$F$10*$B$79,0))</f>
        <v>0</v>
      </c>
    </row>
    <row r="84" spans="1:8" hidden="1">
      <c r="A84" s="390">
        <f>A83+1</f>
        <v>2028</v>
      </c>
      <c r="B84" s="391"/>
      <c r="C84" s="392"/>
      <c r="D84" s="392"/>
      <c r="E84" s="392"/>
      <c r="F84" s="392"/>
      <c r="G84" s="392">
        <f>+IF(G$10&lt;0,0,G$10*$B$79)</f>
        <v>0</v>
      </c>
      <c r="H84" s="392">
        <f>+IF(G84=0,0,+IF(ROUNDUP(SUM($G84:G84),0)&lt;$G$10,$G$10*$B$79,0))</f>
        <v>0</v>
      </c>
    </row>
    <row r="85" spans="1:8" hidden="1">
      <c r="A85" s="390">
        <f>A84+1</f>
        <v>2029</v>
      </c>
      <c r="B85" s="391"/>
      <c r="C85" s="392"/>
      <c r="D85" s="392"/>
      <c r="E85" s="392"/>
      <c r="F85" s="392"/>
      <c r="G85" s="392"/>
      <c r="H85" s="392">
        <f>+IF(H$10&lt;0,0,H$10*$B$79)</f>
        <v>0</v>
      </c>
    </row>
    <row r="86" spans="1:8" hidden="1">
      <c r="A86" s="393" t="s">
        <v>220</v>
      </c>
      <c r="B86" s="391">
        <f>+C61</f>
        <v>0.2</v>
      </c>
      <c r="C86" s="392">
        <f t="shared" ref="C86:H86" si="17">SUM(C87:C92)</f>
        <v>0</v>
      </c>
      <c r="D86" s="392">
        <f t="shared" si="17"/>
        <v>0</v>
      </c>
      <c r="E86" s="392">
        <f t="shared" si="17"/>
        <v>0</v>
      </c>
      <c r="F86" s="392">
        <f t="shared" si="17"/>
        <v>0</v>
      </c>
      <c r="G86" s="392">
        <f t="shared" si="17"/>
        <v>0</v>
      </c>
      <c r="H86" s="392">
        <f t="shared" si="17"/>
        <v>0</v>
      </c>
    </row>
    <row r="87" spans="1:8" hidden="1">
      <c r="A87" s="390">
        <f t="shared" ref="A87:A92" si="18">A80</f>
        <v>2024</v>
      </c>
      <c r="B87" s="391"/>
      <c r="C87" s="392">
        <f>+IF(C$11&lt;0,0,C$11*$B$86)/12*$C$75</f>
        <v>0</v>
      </c>
      <c r="D87" s="392">
        <f>+IF(C87=0,0,+IF(ROUNDUP(SUM($C87:C87),0)&lt;$C$11,$C$11*$B$86,0))</f>
        <v>0</v>
      </c>
      <c r="E87" s="392">
        <f>+IF(D87=0,0,+IF(ROUNDUP(SUM($C87:D87),0)&lt;$C$11,$C$11*$B$86,0))</f>
        <v>0</v>
      </c>
      <c r="F87" s="392">
        <f>+IF(E87=0,0,+IF(ROUNDUP(SUM($C87:E87),0)&lt;$C$11,MIN(($C11-SUM($C87:E87)),$C$11*$B$86),0))</f>
        <v>0</v>
      </c>
      <c r="G87" s="392">
        <f>+IF(F87=0,0,+IF(ROUNDUP(SUM($C87:F87),0)&lt;$C$11,MIN(($C11-SUM($C87:F87)),$C$11*$B$86),0))</f>
        <v>0</v>
      </c>
      <c r="H87" s="392">
        <f>+IF(G87=0,0,+IF(ROUNDUP(SUM($C87:G87),0)&lt;$C$11,MIN(($C11-SUM($C87:G87)),$C$11*$B$86),0))</f>
        <v>0</v>
      </c>
    </row>
    <row r="88" spans="1:8" hidden="1">
      <c r="A88" s="390">
        <f t="shared" si="18"/>
        <v>2025</v>
      </c>
      <c r="B88" s="391"/>
      <c r="C88" s="392"/>
      <c r="D88" s="392">
        <f>+IF(D$11&lt;0,0,D$11*$B$86)</f>
        <v>0</v>
      </c>
      <c r="E88" s="392">
        <f>+IF(D88=0,0,+IF(ROUNDUP(SUM($D88:D88),0)&lt;$D$11,$D$11*$B$86,0))</f>
        <v>0</v>
      </c>
      <c r="F88" s="392">
        <f>+IF(E88=0,0,+IF(ROUNDUP(SUM($D88:E88),0)&lt;$D$11,$D$11*$B$86,0))</f>
        <v>0</v>
      </c>
      <c r="G88" s="392">
        <f>+IF(F88=0,0,+IF(ROUNDUP(SUM($D88:F88),0)&lt;$D$11,$D$11*$B$86,0))</f>
        <v>0</v>
      </c>
      <c r="H88" s="392">
        <f>+IF(G88=0,0,+IF(ROUNDUP(SUM($D88:G88),0)&lt;$D$11,$D$11*$B$86,0))</f>
        <v>0</v>
      </c>
    </row>
    <row r="89" spans="1:8" hidden="1">
      <c r="A89" s="390">
        <f t="shared" si="18"/>
        <v>2026</v>
      </c>
      <c r="B89" s="391"/>
      <c r="C89" s="392"/>
      <c r="D89" s="392"/>
      <c r="E89" s="392">
        <f>+IF(E$11&lt;0,0,E$11*$B$86)</f>
        <v>0</v>
      </c>
      <c r="F89" s="392">
        <f>+IF(E89=0,0,+IF(ROUNDUP(SUM($E89:E89),0)&lt;$E$11,$E$11*$B$86,0))</f>
        <v>0</v>
      </c>
      <c r="G89" s="392">
        <f>+IF(F89=0,0,+IF(ROUNDUP(SUM($E89:F89),0)&lt;$E$11,$E$11*$B$86,0))</f>
        <v>0</v>
      </c>
      <c r="H89" s="392">
        <f>+IF(G89=0,0,+IF(ROUNDUP(SUM($E89:G89),0)&lt;$E$11,$E$11*$B$86,0))</f>
        <v>0</v>
      </c>
    </row>
    <row r="90" spans="1:8" hidden="1">
      <c r="A90" s="390">
        <f t="shared" si="18"/>
        <v>2027</v>
      </c>
      <c r="B90" s="391"/>
      <c r="C90" s="392"/>
      <c r="D90" s="392"/>
      <c r="E90" s="392"/>
      <c r="F90" s="392">
        <f>+IF(F$11&lt;0,0,F$11*$B$86)</f>
        <v>0</v>
      </c>
      <c r="G90" s="392">
        <f>+IF(F90=0,0,+IF(ROUNDUP(SUM($F90:F90),0)&lt;$F$11,$F$11*$B$86,0))</f>
        <v>0</v>
      </c>
      <c r="H90" s="392">
        <f>+IF(G90=0,0,+IF(ROUNDUP(SUM($F90:G90),0)&lt;$F$11,$F$11*$B$86,0))</f>
        <v>0</v>
      </c>
    </row>
    <row r="91" spans="1:8" hidden="1">
      <c r="A91" s="390">
        <f t="shared" si="18"/>
        <v>2028</v>
      </c>
      <c r="B91" s="391"/>
      <c r="C91" s="392"/>
      <c r="D91" s="392"/>
      <c r="E91" s="392"/>
      <c r="F91" s="392"/>
      <c r="G91" s="392">
        <f>+IF(G$11&lt;0,0,G$11*$B$86)</f>
        <v>0</v>
      </c>
      <c r="H91" s="392">
        <f>+IF(G91=0,0,+IF(ROUNDUP(SUM($G91:G91),0)&lt;$G$11,$G$11*$B$86,0))</f>
        <v>0</v>
      </c>
    </row>
    <row r="92" spans="1:8" hidden="1">
      <c r="A92" s="390">
        <f t="shared" si="18"/>
        <v>2029</v>
      </c>
      <c r="B92" s="391"/>
      <c r="C92" s="392"/>
      <c r="D92" s="392"/>
      <c r="E92" s="392"/>
      <c r="F92" s="392"/>
      <c r="G92" s="392"/>
      <c r="H92" s="392">
        <f>+IF(H$11&lt;0,0,H$11*$B$86)</f>
        <v>0</v>
      </c>
    </row>
    <row r="93" spans="1:8" hidden="1">
      <c r="A93" s="487" t="s">
        <v>172</v>
      </c>
      <c r="B93" s="487"/>
      <c r="C93" s="394">
        <f t="shared" ref="C93:H93" si="19">+C79+C86</f>
        <v>0</v>
      </c>
      <c r="D93" s="394">
        <f t="shared" si="19"/>
        <v>0</v>
      </c>
      <c r="E93" s="394">
        <f t="shared" si="19"/>
        <v>0</v>
      </c>
      <c r="F93" s="394">
        <f t="shared" si="19"/>
        <v>0</v>
      </c>
      <c r="G93" s="394">
        <f t="shared" si="19"/>
        <v>0</v>
      </c>
      <c r="H93" s="394">
        <f t="shared" si="19"/>
        <v>0</v>
      </c>
    </row>
    <row r="94" spans="1:8" hidden="1">
      <c r="A94" s="395" t="s">
        <v>222</v>
      </c>
      <c r="B94" s="393"/>
      <c r="C94" s="428"/>
      <c r="D94" s="428"/>
      <c r="E94" s="428"/>
      <c r="F94" s="428"/>
      <c r="G94" s="428"/>
      <c r="H94" s="428"/>
    </row>
    <row r="95" spans="1:8" hidden="1">
      <c r="A95" s="393" t="s">
        <v>224</v>
      </c>
      <c r="B95" s="391">
        <f>+C63</f>
        <v>0.2</v>
      </c>
      <c r="C95" s="392">
        <f t="shared" ref="C95:H95" si="20">SUM(C96:C101)</f>
        <v>0</v>
      </c>
      <c r="D95" s="392">
        <f t="shared" si="20"/>
        <v>0</v>
      </c>
      <c r="E95" s="392">
        <f t="shared" si="20"/>
        <v>0</v>
      </c>
      <c r="F95" s="392">
        <f t="shared" si="20"/>
        <v>0</v>
      </c>
      <c r="G95" s="392">
        <f t="shared" si="20"/>
        <v>0</v>
      </c>
      <c r="H95" s="392">
        <f t="shared" si="20"/>
        <v>0</v>
      </c>
    </row>
    <row r="96" spans="1:8" hidden="1">
      <c r="A96" s="390">
        <f t="shared" ref="A96:A101" si="21">A87</f>
        <v>2024</v>
      </c>
      <c r="B96" s="391"/>
      <c r="C96" s="392">
        <f>+IF(C$15&lt;0,0,C$15*$B$95)/12*C75</f>
        <v>0</v>
      </c>
      <c r="D96" s="392">
        <f>+IF(C96=0,0,+IF(ROUNDUP(SUM($C96:C96),0)&lt;$C$15,$C$15*$B$95,0))</f>
        <v>0</v>
      </c>
      <c r="E96" s="392">
        <f>+IF(D96=0,0,+IF(ROUNDUP(SUM($C96:D96),0)&lt;$C$15,$C$15*$B$95,0))</f>
        <v>0</v>
      </c>
      <c r="F96" s="392">
        <f>+IF(E96=0,0,+IF(ROUNDUP(SUM($C96:E96),0)&lt;$C$15,MIN(($C15-SUM($C96:E96)),$C$15*$B$95),0))</f>
        <v>0</v>
      </c>
      <c r="G96" s="392">
        <f>+IF(F96=0,0,+IF(ROUNDUP(SUM($C96:F96),0)&lt;$C$15,MIN(($C15-SUM($C96:F96)),$C$15*$B$95),0))</f>
        <v>0</v>
      </c>
      <c r="H96" s="392">
        <f>+IF(G96=0,0,+IF(ROUNDUP(SUM($C96:G96),0)&lt;$C$15,MIN(($C15-SUM($C96:G96)),$C$15*$B$95),0))</f>
        <v>0</v>
      </c>
    </row>
    <row r="97" spans="1:8" hidden="1">
      <c r="A97" s="390">
        <f t="shared" si="21"/>
        <v>2025</v>
      </c>
      <c r="B97" s="391"/>
      <c r="C97" s="392"/>
      <c r="D97" s="392">
        <f>+IF(D$15&lt;0,0,D$15*$B$95)</f>
        <v>0</v>
      </c>
      <c r="E97" s="392">
        <f>+IF(D97=0,0,+IF(ROUNDUP(SUM($D97:D97),0)&lt;$D$15,$D$15*$B$95,0))</f>
        <v>0</v>
      </c>
      <c r="F97" s="392">
        <f>+IF(E97=0,0,+IF(ROUNDUP(SUM($D97:E97),0)&lt;$D$15,$D$15*$B$95,0))</f>
        <v>0</v>
      </c>
      <c r="G97" s="392">
        <f>+IF(F97=0,0,+IF(ROUNDUP(SUM($D97:F97),0)&lt;$D$15,$D$15*$B$95,0))</f>
        <v>0</v>
      </c>
      <c r="H97" s="392">
        <f>+IF(G97=0,0,+IF(ROUNDUP(SUM($D97:G97),0)&lt;$D$15,$D$15*$B$95,0))</f>
        <v>0</v>
      </c>
    </row>
    <row r="98" spans="1:8" hidden="1">
      <c r="A98" s="390">
        <f t="shared" si="21"/>
        <v>2026</v>
      </c>
      <c r="B98" s="391"/>
      <c r="C98" s="392"/>
      <c r="D98" s="392"/>
      <c r="E98" s="392">
        <f>+IF(E$15&lt;0,0,E$15*$B$95)</f>
        <v>0</v>
      </c>
      <c r="F98" s="392">
        <f>+IF(E98=0,0,+IF(ROUNDUP(SUM($E98:E98),0)&lt;$E$15,$E$15*$B$95,0))</f>
        <v>0</v>
      </c>
      <c r="G98" s="392">
        <f>+IF(F98=0,0,+IF(ROUNDUP(SUM($E98:F98),0)&lt;$E$15,$E$15*$B$95,0))</f>
        <v>0</v>
      </c>
      <c r="H98" s="392">
        <f>+IF(G98=0,0,+IF(ROUNDUP(SUM($E98:G98),0)&lt;$E$15,$E$15*$B$95,0))</f>
        <v>0</v>
      </c>
    </row>
    <row r="99" spans="1:8" hidden="1">
      <c r="A99" s="390">
        <f t="shared" si="21"/>
        <v>2027</v>
      </c>
      <c r="B99" s="391"/>
      <c r="C99" s="392"/>
      <c r="D99" s="392"/>
      <c r="E99" s="392"/>
      <c r="F99" s="392">
        <f>+IF(F$15&lt;0,0,F$15*$B$95)</f>
        <v>0</v>
      </c>
      <c r="G99" s="392">
        <f>+IF(F99=0,0,+IF(ROUNDUP(SUM($F99:F99),0)&lt;$F$15,$F$15*$B$95,0))</f>
        <v>0</v>
      </c>
      <c r="H99" s="392">
        <f>+IF(G99=0,0,+IF(ROUNDUP(SUM($F99:G99),0)&lt;$F$15,$F$15*$B$95,0))</f>
        <v>0</v>
      </c>
    </row>
    <row r="100" spans="1:8" hidden="1">
      <c r="A100" s="390">
        <f t="shared" si="21"/>
        <v>2028</v>
      </c>
      <c r="B100" s="391"/>
      <c r="C100" s="392"/>
      <c r="D100" s="392"/>
      <c r="E100" s="392"/>
      <c r="F100" s="392"/>
      <c r="G100" s="392">
        <f>+IF(G$15&lt;0,0,G$15*$B$95)</f>
        <v>0</v>
      </c>
      <c r="H100" s="392">
        <f>+IF(G100=0,0,+IF(ROUNDUP(SUM($G100:G100),0)&lt;$G$15,$G$15*$B$95,0))</f>
        <v>0</v>
      </c>
    </row>
    <row r="101" spans="1:8" hidden="1">
      <c r="A101" s="390">
        <f t="shared" si="21"/>
        <v>2029</v>
      </c>
      <c r="B101" s="391"/>
      <c r="C101" s="392"/>
      <c r="D101" s="392"/>
      <c r="E101" s="392"/>
      <c r="F101" s="392"/>
      <c r="G101" s="392"/>
      <c r="H101" s="392">
        <f>+IF(H$15&lt;0,0,H$15*$B$95)</f>
        <v>0</v>
      </c>
    </row>
    <row r="102" spans="1:8" hidden="1">
      <c r="A102" s="393" t="s">
        <v>252</v>
      </c>
      <c r="B102" s="391">
        <f>+C64</f>
        <v>0.25</v>
      </c>
      <c r="C102" s="392">
        <f t="shared" ref="C102:H102" si="22">SUM(C103:C108)</f>
        <v>312.5</v>
      </c>
      <c r="D102" s="392">
        <f t="shared" si="22"/>
        <v>800</v>
      </c>
      <c r="E102" s="392">
        <f t="shared" si="22"/>
        <v>925</v>
      </c>
      <c r="F102" s="392">
        <f t="shared" si="22"/>
        <v>1075</v>
      </c>
      <c r="G102" s="392">
        <f t="shared" si="22"/>
        <v>812.5</v>
      </c>
      <c r="H102" s="392">
        <f t="shared" si="22"/>
        <v>450</v>
      </c>
    </row>
    <row r="103" spans="1:8" hidden="1">
      <c r="A103" s="390">
        <f t="shared" ref="A103:A136" si="23">A96</f>
        <v>2024</v>
      </c>
      <c r="B103" s="391"/>
      <c r="C103" s="392">
        <f>+IF(C$16&lt;0,0,C$16*$B$102)/12*C75</f>
        <v>312.5</v>
      </c>
      <c r="D103" s="392">
        <f>+IF(C103=0,0,+IF(ROUNDUP(SUM($C103:C103),0)&lt;$C$16,$C$16*$B$102,0))</f>
        <v>750</v>
      </c>
      <c r="E103" s="392">
        <f>+IF(D103=0,0,+IF(ROUNDUP(SUM($C103:D103),0)&lt;$C$16,$C$16*$B$102,0))</f>
        <v>750</v>
      </c>
      <c r="F103" s="392">
        <f>+IF(E103=0,0,+IF(ROUNDUP(SUM($C103:E103),0)&lt;$C16,MIN(($C16-SUM($C103:E103)),+$C16*$B$102),0))</f>
        <v>750</v>
      </c>
      <c r="G103" s="392">
        <f>+IF(F103=0,0,+IF(ROUNDUP(SUM($C103:F103),0)&lt;$C16,MIN(($C16-SUM($C103:F103)),+$C16*$B$102),0))</f>
        <v>437.5</v>
      </c>
      <c r="H103" s="392">
        <f>+IF(G103=0,0,+IF(ROUNDUP(SUM($C103:G103),0)&lt;$C16,MIN(($C16-SUM($C103:G103)),+$C16*$B$102),0))</f>
        <v>0</v>
      </c>
    </row>
    <row r="104" spans="1:8" hidden="1">
      <c r="A104" s="390">
        <f t="shared" si="23"/>
        <v>2025</v>
      </c>
      <c r="B104" s="391"/>
      <c r="C104" s="392"/>
      <c r="D104" s="392">
        <f>+IF(D$16&lt;0,0,D$16*$B$102)</f>
        <v>50</v>
      </c>
      <c r="E104" s="392">
        <f>+IF(D104=0,0,+IF(ROUNDUP(SUM($D104:D104),0)&lt;$D$16,$D$16*$B$102,0))</f>
        <v>50</v>
      </c>
      <c r="F104" s="392">
        <f>+IF(E104=0,0,+IF(ROUNDUP(SUM($D104:E104),0)&lt;$D$16,$D$16*$B$102,0))</f>
        <v>50</v>
      </c>
      <c r="G104" s="392">
        <f>+IF(F104=0,0,+IF(ROUNDUP(SUM($D104:F104),0)&lt;$D$16,$D$16*$B$102,0))</f>
        <v>50</v>
      </c>
      <c r="H104" s="392">
        <f>+IF(G104=0,0,+IF(ROUNDUP(SUM($D104:G104),0)&lt;$D$16,$D$16*$B$102,0))</f>
        <v>0</v>
      </c>
    </row>
    <row r="105" spans="1:8" hidden="1">
      <c r="A105" s="390">
        <f t="shared" si="23"/>
        <v>2026</v>
      </c>
      <c r="B105" s="391"/>
      <c r="C105" s="392"/>
      <c r="D105" s="392"/>
      <c r="E105" s="392">
        <f>+IF(E$16&lt;0,0,E$16*$B$102)</f>
        <v>125</v>
      </c>
      <c r="F105" s="392">
        <f>+IF(E105=0,0,+IF(ROUNDUP(SUM($E105:E105),0)&lt;$E$16,$E$16*$B$102,0))</f>
        <v>125</v>
      </c>
      <c r="G105" s="392">
        <f>+IF(F105=0,0,+IF(ROUNDUP(SUM($E105:F105),0)&lt;$E$16,$E$16*$B$102,0))</f>
        <v>125</v>
      </c>
      <c r="H105" s="392">
        <f>+IF(G105=0,0,+IF(ROUNDUP(SUM($E105:G105),0)&lt;$E$16,$E$16*$B$102,0))</f>
        <v>125</v>
      </c>
    </row>
    <row r="106" spans="1:8" hidden="1">
      <c r="A106" s="390">
        <f t="shared" si="23"/>
        <v>2027</v>
      </c>
      <c r="B106" s="391"/>
      <c r="C106" s="392"/>
      <c r="D106" s="392"/>
      <c r="E106" s="392"/>
      <c r="F106" s="392">
        <f>+IF(F$16&lt;0,0,F$16*$B$102)</f>
        <v>150</v>
      </c>
      <c r="G106" s="392">
        <f>+IF(F106=0,0,+IF(ROUNDUP(SUM($F106:F106),0)&lt;$F$16,$F$16*$B$102,0))</f>
        <v>150</v>
      </c>
      <c r="H106" s="392">
        <f>+IF(G106=0,0,+IF(ROUNDUP(SUM($F106:G106),0)&lt;$F$16,$F$16*$B$102,0))</f>
        <v>150</v>
      </c>
    </row>
    <row r="107" spans="1:8" hidden="1">
      <c r="A107" s="390">
        <f t="shared" si="23"/>
        <v>2028</v>
      </c>
      <c r="B107" s="391"/>
      <c r="C107" s="392"/>
      <c r="D107" s="392"/>
      <c r="E107" s="392"/>
      <c r="F107" s="392"/>
      <c r="G107" s="392">
        <f>+IF(G$16&lt;0,0,G$16*$B$102)</f>
        <v>50</v>
      </c>
      <c r="H107" s="392">
        <f>+IF(G107=0,0,+IF(ROUNDUP(SUM($G107:G107),0)&lt;$G$16,$G$16*$B$102,0))</f>
        <v>50</v>
      </c>
    </row>
    <row r="108" spans="1:8" hidden="1">
      <c r="A108" s="390">
        <f t="shared" si="23"/>
        <v>2029</v>
      </c>
      <c r="B108" s="391"/>
      <c r="C108" s="392"/>
      <c r="D108" s="392"/>
      <c r="E108" s="392"/>
      <c r="F108" s="392"/>
      <c r="G108" s="392"/>
      <c r="H108" s="392">
        <f>+IF(H$16&lt;0,0,H$16*$B$102)</f>
        <v>125</v>
      </c>
    </row>
    <row r="109" spans="1:8" hidden="1">
      <c r="A109" s="393" t="s">
        <v>253</v>
      </c>
      <c r="B109" s="391">
        <f>+C65</f>
        <v>0.2</v>
      </c>
      <c r="C109" s="392">
        <f t="shared" ref="C109:H109" si="24">SUM(C110:C115)</f>
        <v>0</v>
      </c>
      <c r="D109" s="392">
        <f t="shared" si="24"/>
        <v>0</v>
      </c>
      <c r="E109" s="392">
        <f t="shared" si="24"/>
        <v>0</v>
      </c>
      <c r="F109" s="392">
        <f t="shared" si="24"/>
        <v>0</v>
      </c>
      <c r="G109" s="392">
        <f t="shared" si="24"/>
        <v>0</v>
      </c>
      <c r="H109" s="392">
        <f t="shared" si="24"/>
        <v>0</v>
      </c>
    </row>
    <row r="110" spans="1:8" hidden="1">
      <c r="A110" s="390">
        <f t="shared" si="23"/>
        <v>2024</v>
      </c>
      <c r="B110" s="391"/>
      <c r="C110" s="392">
        <f>+IF(C$17&lt;0,0,C$17*$B$109)/12*C75</f>
        <v>0</v>
      </c>
      <c r="D110" s="392">
        <f>+IF(C110=0,0,+IF(ROUNDUP(SUM($C110:C110),0)&lt;$C$17,$C$17*$B$109,0))</f>
        <v>0</v>
      </c>
      <c r="E110" s="392">
        <f>+IF(D110=0,0,+IF(ROUNDUP(SUM($C110:D110),0)&lt;$C$17,$C$17*$B$109,0))</f>
        <v>0</v>
      </c>
      <c r="F110" s="392">
        <f>+IF(E110=0,0,+IF(ROUNDUP(SUM($C110:E110),0)&lt;$C17,MIN(($C17-SUM($C110:E110)),+$C17*$B$109),0))</f>
        <v>0</v>
      </c>
      <c r="G110" s="392">
        <f>+IF(F110=0,0,+IF(ROUNDUP(SUM($C110:F110),0)&lt;$C17,MIN(($C17-SUM($C110:F110)),+$C17*$B$109),0))</f>
        <v>0</v>
      </c>
      <c r="H110" s="392">
        <f>+IF(G110=0,0,+IF(ROUNDUP(SUM($C110:G110),0)&lt;$C17,MIN(($C17-SUM($C110:G110)),+$C17*$B$109),0))</f>
        <v>0</v>
      </c>
    </row>
    <row r="111" spans="1:8" hidden="1">
      <c r="A111" s="390">
        <f t="shared" si="23"/>
        <v>2025</v>
      </c>
      <c r="B111" s="391"/>
      <c r="C111" s="392"/>
      <c r="D111" s="392">
        <f>+IF(D$17&lt;0,0,D$17*$B$109)</f>
        <v>0</v>
      </c>
      <c r="E111" s="392">
        <f>+IF(D111=0,0,+IF(ROUNDUP(SUM($D111:D111),0)&lt;$D$17,$D$17*$B$109,0))</f>
        <v>0</v>
      </c>
      <c r="F111" s="392">
        <f>+IF(E111=0,0,+IF(ROUNDUP(SUM($D111:E111),0)&lt;$D$17,$D$17*$B$109,0))</f>
        <v>0</v>
      </c>
      <c r="G111" s="392">
        <f>+IF(F111=0,0,+IF(ROUNDUP(SUM($D111:F111),0)&lt;$D$17,$D$17*$B$109,0))</f>
        <v>0</v>
      </c>
      <c r="H111" s="392">
        <f>+IF(G111=0,0,+IF(ROUNDUP(SUM($D111:G111),0)&lt;$D$17,$D$17*$B$109,0))</f>
        <v>0</v>
      </c>
    </row>
    <row r="112" spans="1:8" hidden="1">
      <c r="A112" s="390">
        <f t="shared" si="23"/>
        <v>2026</v>
      </c>
      <c r="B112" s="391"/>
      <c r="C112" s="392"/>
      <c r="D112" s="392"/>
      <c r="E112" s="392">
        <f>+IF(E$17&lt;0,0,E$17*$B$109)</f>
        <v>0</v>
      </c>
      <c r="F112" s="392">
        <f>+IF(E112=0,0,+IF(ROUNDUP(SUM($E112:E112),0)&lt;$E$17,$E$17*$B$109,0))</f>
        <v>0</v>
      </c>
      <c r="G112" s="392">
        <f>+IF(F112=0,0,+IF(ROUNDUP(SUM($E112:F112),0)&lt;$E$17,$E$17*$B$109,0))</f>
        <v>0</v>
      </c>
      <c r="H112" s="392">
        <f>+IF(G112=0,0,+IF(ROUNDUP(SUM($E112:G112),0)&lt;$E$17,$E$17*$B$109,0))</f>
        <v>0</v>
      </c>
    </row>
    <row r="113" spans="1:8" hidden="1">
      <c r="A113" s="390">
        <f t="shared" si="23"/>
        <v>2027</v>
      </c>
      <c r="B113" s="391"/>
      <c r="C113" s="392"/>
      <c r="D113" s="392"/>
      <c r="E113" s="392"/>
      <c r="F113" s="392">
        <f>+IF(F$17&lt;0,0,F$17*$B$109)</f>
        <v>0</v>
      </c>
      <c r="G113" s="392">
        <f>+IF(F113=0,0,+IF(ROUNDUP(SUM($F113:F113),0)&lt;$F$17,$F$17*$B$109,0))</f>
        <v>0</v>
      </c>
      <c r="H113" s="392">
        <f>+IF(G113=0,0,+IF(ROUNDUP(SUM($F113:G113),0)&lt;$F$17,$F$17*$B$109,0))</f>
        <v>0</v>
      </c>
    </row>
    <row r="114" spans="1:8" hidden="1">
      <c r="A114" s="390">
        <f t="shared" si="23"/>
        <v>2028</v>
      </c>
      <c r="B114" s="391"/>
      <c r="C114" s="392"/>
      <c r="D114" s="392"/>
      <c r="E114" s="392"/>
      <c r="F114" s="392"/>
      <c r="G114" s="392">
        <f>+IF(G$17&lt;0,0,G$17*$B$109)</f>
        <v>0</v>
      </c>
      <c r="H114" s="392">
        <f>+IF(G114=0,0,+IF(ROUNDUP(SUM($G114:G114),0)&lt;$G$17,$G$17*$B$109,0))</f>
        <v>0</v>
      </c>
    </row>
    <row r="115" spans="1:8" hidden="1">
      <c r="A115" s="390">
        <f t="shared" si="23"/>
        <v>2029</v>
      </c>
      <c r="B115" s="391"/>
      <c r="C115" s="392"/>
      <c r="D115" s="392"/>
      <c r="E115" s="392"/>
      <c r="F115" s="392"/>
      <c r="G115" s="392"/>
      <c r="H115" s="392">
        <f>+IF(H$17&lt;0,0,H$17*$B$109)</f>
        <v>0</v>
      </c>
    </row>
    <row r="116" spans="1:8" hidden="1">
      <c r="A116" s="393" t="s">
        <v>254</v>
      </c>
      <c r="B116" s="391">
        <f>+C66</f>
        <v>0.25</v>
      </c>
      <c r="C116" s="392">
        <f t="shared" ref="C116:H116" si="25">SUM(C117:C122)</f>
        <v>0</v>
      </c>
      <c r="D116" s="392">
        <f t="shared" si="25"/>
        <v>0</v>
      </c>
      <c r="E116" s="392">
        <f t="shared" si="25"/>
        <v>0</v>
      </c>
      <c r="F116" s="392">
        <f t="shared" si="25"/>
        <v>0</v>
      </c>
      <c r="G116" s="392">
        <f t="shared" si="25"/>
        <v>0</v>
      </c>
      <c r="H116" s="392">
        <f t="shared" si="25"/>
        <v>0</v>
      </c>
    </row>
    <row r="117" spans="1:8" hidden="1">
      <c r="A117" s="390">
        <f t="shared" si="23"/>
        <v>2024</v>
      </c>
      <c r="B117" s="391"/>
      <c r="C117" s="392">
        <f>+IF(C$18&lt;0,0,C$18*$B$116)/12*C75</f>
        <v>0</v>
      </c>
      <c r="D117" s="392">
        <f>+IF(C117=0,0,+IF(ROUNDUP(SUM($C117:C117),0)&lt;$C$18,$C$18*$B$116,0))</f>
        <v>0</v>
      </c>
      <c r="E117" s="392">
        <f>+IF(D117=0,0,+IF(ROUNDUP(SUM($C117:D117),0)&lt;$C$18,$C$18*$B$116,0))</f>
        <v>0</v>
      </c>
      <c r="F117" s="392">
        <f>+IF(E117=0,0,+IF(ROUNDUP(SUM($C117:E117),0)&lt;$C18,MIN(($C18-SUM($C117:E117)),+$C18*$B$116),0))</f>
        <v>0</v>
      </c>
      <c r="G117" s="392">
        <f>+IF(F117=0,0,+IF(ROUNDUP(SUM($C117:F117),0)&lt;$C18,MIN(($C18-SUM($C117:F117)),+$C18*$B$116),0))</f>
        <v>0</v>
      </c>
      <c r="H117" s="392">
        <f>+IF(G117=0,0,+IF(ROUNDUP(SUM($C117:G117),0)&lt;$C18,MIN(($C18-SUM($C117:G117)),+$C18*$B$116),0))</f>
        <v>0</v>
      </c>
    </row>
    <row r="118" spans="1:8" hidden="1">
      <c r="A118" s="390">
        <f t="shared" si="23"/>
        <v>2025</v>
      </c>
      <c r="B118" s="391"/>
      <c r="C118" s="392"/>
      <c r="D118" s="392">
        <f>+IF(D$18&lt;0,0,D$18*$B$116)</f>
        <v>0</v>
      </c>
      <c r="E118" s="392">
        <f>+IF(D118=0,0,+IF(ROUNDUP(SUM($D118:D118),0)&lt;$D$18,$D$18*$B$116,0))</f>
        <v>0</v>
      </c>
      <c r="F118" s="392">
        <f>+IF(E118=0,0,+IF(ROUNDUP(SUM($D118:E118),0)&lt;$D$18,$D$18*$B$116,0))</f>
        <v>0</v>
      </c>
      <c r="G118" s="392">
        <f>+IF(F118=0,0,+IF(ROUNDUP(SUM($D118:F118),0)&lt;$D$18,$D$18*$B$116,0))</f>
        <v>0</v>
      </c>
      <c r="H118" s="392">
        <f>+IF(G118=0,0,+IF(ROUNDUP(SUM($D118:G118),0)&lt;$D$18,$D$18*$B$116,0))</f>
        <v>0</v>
      </c>
    </row>
    <row r="119" spans="1:8" hidden="1">
      <c r="A119" s="390">
        <f t="shared" si="23"/>
        <v>2026</v>
      </c>
      <c r="B119" s="391"/>
      <c r="C119" s="392"/>
      <c r="D119" s="392"/>
      <c r="E119" s="392">
        <f>+IF(E$18&lt;0,0,E$18*$B$116)</f>
        <v>0</v>
      </c>
      <c r="F119" s="392">
        <f>+IF(E119=0,0,+IF(ROUNDUP(SUM($E119:E119),0)&lt;$E$18,$E$18*$B$116,0))</f>
        <v>0</v>
      </c>
      <c r="G119" s="392">
        <f>+IF(F119=0,0,+IF(ROUNDUP(SUM($E119:F119),0)&lt;$E$18,$E$18*$B$116,0))</f>
        <v>0</v>
      </c>
      <c r="H119" s="392">
        <f>+IF(G119=0,0,+IF(ROUNDUP(SUM($E119:G119),0)&lt;$E$18,$E$18*$B$116,0))</f>
        <v>0</v>
      </c>
    </row>
    <row r="120" spans="1:8" hidden="1">
      <c r="A120" s="390">
        <f t="shared" si="23"/>
        <v>2027</v>
      </c>
      <c r="B120" s="391"/>
      <c r="C120" s="392"/>
      <c r="D120" s="392"/>
      <c r="E120" s="392"/>
      <c r="F120" s="392">
        <f>+IF(F$18&lt;0,0,F$18*$B$116)</f>
        <v>0</v>
      </c>
      <c r="G120" s="392">
        <f>+IF(F120=0,0,+IF(ROUNDUP(SUM($F120:F120),0)&lt;$F$18,$F$18*$B$116,0))</f>
        <v>0</v>
      </c>
      <c r="H120" s="392">
        <f>+IF(G120=0,0,+IF(ROUNDUP(SUM($F120:G120),0)&lt;$F$18,$F$18*$B$116,0))</f>
        <v>0</v>
      </c>
    </row>
    <row r="121" spans="1:8" hidden="1">
      <c r="A121" s="390">
        <f t="shared" si="23"/>
        <v>2028</v>
      </c>
      <c r="B121" s="391"/>
      <c r="C121" s="392"/>
      <c r="D121" s="392"/>
      <c r="E121" s="392"/>
      <c r="F121" s="392"/>
      <c r="G121" s="392">
        <f>+IF(G$18&lt;0,0,G$18*$B$116)</f>
        <v>0</v>
      </c>
      <c r="H121" s="392">
        <f>+IF(G121=0,0,+IF(ROUNDUP(SUM($G121:G121),0)&lt;$G$18,$G$18*$B$116,0))</f>
        <v>0</v>
      </c>
    </row>
    <row r="122" spans="1:8" hidden="1">
      <c r="A122" s="390">
        <f t="shared" si="23"/>
        <v>2029</v>
      </c>
      <c r="B122" s="391"/>
      <c r="C122" s="392"/>
      <c r="D122" s="392"/>
      <c r="E122" s="392"/>
      <c r="F122" s="392"/>
      <c r="G122" s="392"/>
      <c r="H122" s="392">
        <f>+IF(H$18&lt;0,0,H$18*$B$116)</f>
        <v>0</v>
      </c>
    </row>
    <row r="123" spans="1:8" hidden="1">
      <c r="A123" s="393" t="s">
        <v>255</v>
      </c>
      <c r="B123" s="391">
        <f>+C67</f>
        <v>0.25</v>
      </c>
      <c r="C123" s="392">
        <f t="shared" ref="C123:H123" si="26">SUM(C124:C129)</f>
        <v>0</v>
      </c>
      <c r="D123" s="392">
        <f t="shared" si="26"/>
        <v>0</v>
      </c>
      <c r="E123" s="392">
        <f t="shared" si="26"/>
        <v>0</v>
      </c>
      <c r="F123" s="392">
        <f t="shared" si="26"/>
        <v>0</v>
      </c>
      <c r="G123" s="392">
        <f t="shared" si="26"/>
        <v>0</v>
      </c>
      <c r="H123" s="392">
        <f t="shared" si="26"/>
        <v>0</v>
      </c>
    </row>
    <row r="124" spans="1:8" hidden="1">
      <c r="A124" s="390">
        <f t="shared" si="23"/>
        <v>2024</v>
      </c>
      <c r="B124" s="391"/>
      <c r="C124" s="392">
        <f>+IF(C$19&lt;0,0,C$19*$B$123)/12*C75</f>
        <v>0</v>
      </c>
      <c r="D124" s="392">
        <f>+IF(C124=0,0,+IF(ROUNDUP(SUM($C124:C124),0)&lt;$C$19,$C$19*$B$123,0))</f>
        <v>0</v>
      </c>
      <c r="E124" s="392">
        <f>+IF(D124=0,0,+IF(ROUNDUP(SUM($C124:D124),0)&lt;$C$19,$C$19*$B$123,0))</f>
        <v>0</v>
      </c>
      <c r="F124" s="392">
        <f>+IF(E124=0,0,+IF(ROUNDUP(SUM($C124:E124),0)&lt;$C18,MIN(($C18-SUM($C124:E124)),+$C18*$B$123),0))</f>
        <v>0</v>
      </c>
      <c r="G124" s="392">
        <f>+IF(F124=0,0,+IF(ROUNDUP(SUM($C124:F124),0)&lt;$C18,MIN(($C18-SUM($C124:F124)),+$C18*$B$123),0))</f>
        <v>0</v>
      </c>
      <c r="H124" s="392">
        <f>+IF(G124=0,0,+IF(ROUNDUP(SUM($C124:G124),0)&lt;$C18,MIN(($C18-SUM($C124:G124)),+$C18*$B$123),0))</f>
        <v>0</v>
      </c>
    </row>
    <row r="125" spans="1:8" hidden="1">
      <c r="A125" s="390">
        <f t="shared" si="23"/>
        <v>2025</v>
      </c>
      <c r="B125" s="391"/>
      <c r="C125" s="392"/>
      <c r="D125" s="392">
        <f>+IF(D$19&lt;0,0,D$19*$B$123)</f>
        <v>0</v>
      </c>
      <c r="E125" s="392">
        <f>+IF(D125=0,0,+IF(ROUNDUP(SUM($D125:D125),0)&lt;$D$19,$D$19*$B$123,0))</f>
        <v>0</v>
      </c>
      <c r="F125" s="392">
        <f>+IF(E125=0,0,+IF(ROUNDUP(SUM($D125:E125),0)&lt;$D$19,$D$19*$B$123,0))</f>
        <v>0</v>
      </c>
      <c r="G125" s="392">
        <f>+IF(F125=0,0,+IF(ROUNDUP(SUM($D125:F125),0)&lt;$D$19,$D$19*$B$123,0))</f>
        <v>0</v>
      </c>
      <c r="H125" s="392">
        <f>+IF(G125=0,0,+IF(ROUNDUP(SUM($D125:G125),0)&lt;$D$19,$D$19*$B$123,0))</f>
        <v>0</v>
      </c>
    </row>
    <row r="126" spans="1:8" hidden="1">
      <c r="A126" s="390">
        <f t="shared" si="23"/>
        <v>2026</v>
      </c>
      <c r="B126" s="391"/>
      <c r="C126" s="392"/>
      <c r="D126" s="392"/>
      <c r="E126" s="392">
        <f>+IF(E$19&lt;0,0,E$19*$B$123)</f>
        <v>0</v>
      </c>
      <c r="F126" s="392">
        <f>+IF(E126=0,0,+IF(ROUNDUP(SUM($E126:E126),0)&lt;$E$19,$E$19*$B$123,0))</f>
        <v>0</v>
      </c>
      <c r="G126" s="392">
        <f>+IF(F126=0,0,+IF(ROUNDUP(SUM($E126:F126),0)&lt;$E$19,$E$19*$B$123,0))</f>
        <v>0</v>
      </c>
      <c r="H126" s="392">
        <f>+IF(G126=0,0,+IF(ROUNDUP(SUM($E126:G126),0)&lt;$E$19,$E$19*$B$123,0))</f>
        <v>0</v>
      </c>
    </row>
    <row r="127" spans="1:8" hidden="1">
      <c r="A127" s="390">
        <f t="shared" si="23"/>
        <v>2027</v>
      </c>
      <c r="B127" s="391"/>
      <c r="C127" s="392"/>
      <c r="D127" s="392"/>
      <c r="E127" s="392"/>
      <c r="F127" s="392">
        <f>+IF(F$19&lt;0,0,F$19*$B$123)</f>
        <v>0</v>
      </c>
      <c r="G127" s="392">
        <f>+IF(F127=0,0,+IF(ROUNDUP(SUM($F127:F127),0)&lt;$F$19,$F$19*$B$123,0))</f>
        <v>0</v>
      </c>
      <c r="H127" s="392">
        <f>+IF(G127=0,0,+IF(ROUNDUP(SUM($F127:G127),0)&lt;$F$19,$F$19*$B$123,0))</f>
        <v>0</v>
      </c>
    </row>
    <row r="128" spans="1:8" hidden="1">
      <c r="A128" s="390">
        <f t="shared" si="23"/>
        <v>2028</v>
      </c>
      <c r="B128" s="391"/>
      <c r="C128" s="392"/>
      <c r="D128" s="392"/>
      <c r="E128" s="392"/>
      <c r="F128" s="392"/>
      <c r="G128" s="392">
        <f>+IF(G$19&lt;0,0,G$19*$B$123)</f>
        <v>0</v>
      </c>
      <c r="H128" s="392">
        <f>+IF(G128=0,0,+IF(ROUNDUP(SUM($G128:G128),0)&lt;$G$19,$G$19*$B$123,0))</f>
        <v>0</v>
      </c>
    </row>
    <row r="129" spans="1:8" hidden="1">
      <c r="A129" s="390">
        <f t="shared" si="23"/>
        <v>2029</v>
      </c>
      <c r="B129" s="391"/>
      <c r="C129" s="392"/>
      <c r="D129" s="392"/>
      <c r="E129" s="392"/>
      <c r="F129" s="392"/>
      <c r="G129" s="392"/>
      <c r="H129" s="392">
        <f>+IF(H$19&lt;0,0,H$19*$B$123)</f>
        <v>0</v>
      </c>
    </row>
    <row r="130" spans="1:8" hidden="1">
      <c r="A130" s="393" t="s">
        <v>229</v>
      </c>
      <c r="B130" s="391">
        <f>+C68</f>
        <v>0.25</v>
      </c>
      <c r="C130" s="392">
        <f t="shared" ref="C130:H130" si="27">SUM(C131:C136)</f>
        <v>0</v>
      </c>
      <c r="D130" s="392">
        <f t="shared" si="27"/>
        <v>0</v>
      </c>
      <c r="E130" s="392">
        <f t="shared" si="27"/>
        <v>0</v>
      </c>
      <c r="F130" s="392">
        <f t="shared" si="27"/>
        <v>0</v>
      </c>
      <c r="G130" s="392">
        <f t="shared" si="27"/>
        <v>0</v>
      </c>
      <c r="H130" s="392">
        <f t="shared" si="27"/>
        <v>0</v>
      </c>
    </row>
    <row r="131" spans="1:8" hidden="1">
      <c r="A131" s="390">
        <f t="shared" si="23"/>
        <v>2024</v>
      </c>
      <c r="B131" s="391"/>
      <c r="C131" s="392">
        <f>+IF(C$20&lt;0,0,C$20*$B$130)/12*$C$75</f>
        <v>0</v>
      </c>
      <c r="D131" s="392">
        <f>+IF(C131=0,0,+IF(ROUNDUP(SUM($C131:C131),0)&lt;$C$20,$C$20*$B$130,0))</f>
        <v>0</v>
      </c>
      <c r="E131" s="392">
        <f>+IF(D131=0,0,+IF(ROUNDUP(SUM($C131:D131),0)&lt;$C$20,$C$20*$B$130,0))</f>
        <v>0</v>
      </c>
      <c r="F131" s="392">
        <f>+IF(E131=0,0,+IF(ROUNDUP(SUM($C131:E131),0)&lt;$C20,MIN(($C20-SUM($C131:E131)),+$C20*$B$130),0))</f>
        <v>0</v>
      </c>
      <c r="G131" s="392">
        <f>+IF(F131=0,0,+IF(ROUNDUP(SUM($C131:F131),0)&lt;$C20,MIN(($C20-SUM($C131:F131)),+$C20*$B$130),0))</f>
        <v>0</v>
      </c>
      <c r="H131" s="392">
        <f>+IF(G131=0,0,+IF(ROUNDUP(SUM($C131:G131),0)&lt;$C20,MIN(($C20-SUM($C131:G131)),+$C20*$B$130),0))</f>
        <v>0</v>
      </c>
    </row>
    <row r="132" spans="1:8" hidden="1">
      <c r="A132" s="390">
        <f t="shared" si="23"/>
        <v>2025</v>
      </c>
      <c r="B132" s="391"/>
      <c r="C132" s="392"/>
      <c r="D132" s="392">
        <f>+IF(D$20&lt;0,0,D$20*$B$130)</f>
        <v>0</v>
      </c>
      <c r="E132" s="392">
        <f>+IF(D132=0,0,+IF(ROUNDUP(SUM($D132:D132),0)&lt;$D$20,$D$20*$B$130,0))</f>
        <v>0</v>
      </c>
      <c r="F132" s="392">
        <f>+IF(E132=0,0,+IF(ROUNDUP(SUM($D132:E132),0)&lt;$D$20,$D$20*$B$130,0))</f>
        <v>0</v>
      </c>
      <c r="G132" s="392">
        <f>+IF(F132=0,0,+IF(ROUNDUP(SUM($D132:F132),0)&lt;$D$20,$D$20*$B$130,0))</f>
        <v>0</v>
      </c>
      <c r="H132" s="392">
        <f>+IF(G132=0,0,+IF(ROUNDUP(SUM($D132:G132),0)&lt;$D$20,$D$20*$B$130,0))</f>
        <v>0</v>
      </c>
    </row>
    <row r="133" spans="1:8" hidden="1">
      <c r="A133" s="390">
        <f t="shared" si="23"/>
        <v>2026</v>
      </c>
      <c r="B133" s="391"/>
      <c r="C133" s="392"/>
      <c r="D133" s="392"/>
      <c r="E133" s="392">
        <f>+IF(E$20&lt;0,0,E$20*$B$130)</f>
        <v>0</v>
      </c>
      <c r="F133" s="392">
        <f>+IF(E133=0,0,+IF(ROUNDUP(SUM($E133:E133),0)&lt;$E$20,$E$20*$B$130,0))</f>
        <v>0</v>
      </c>
      <c r="G133" s="392">
        <f>+IF(F133=0,0,+IF(ROUNDUP(SUM($E133:F133),0)&lt;$E$20,$E$20*$B$130,0))</f>
        <v>0</v>
      </c>
      <c r="H133" s="392">
        <f>+IF(G133=0,0,+IF(ROUNDUP(SUM($E133:G133),0)&lt;$E$20,$E$20*$B$130,0))</f>
        <v>0</v>
      </c>
    </row>
    <row r="134" spans="1:8" hidden="1">
      <c r="A134" s="390">
        <f t="shared" si="23"/>
        <v>2027</v>
      </c>
      <c r="B134" s="391"/>
      <c r="C134" s="392"/>
      <c r="D134" s="392"/>
      <c r="E134" s="392"/>
      <c r="F134" s="392">
        <f>+IF(F$20&lt;0,0,F$20*$B$130)</f>
        <v>0</v>
      </c>
      <c r="G134" s="392">
        <f>+IF(F134=0,0,+IF(ROUNDUP(SUM($F134:F134),0)&lt;$F$20,$F$20*$B$130,0))</f>
        <v>0</v>
      </c>
      <c r="H134" s="392">
        <f>+IF(G134=0,0,+IF(ROUNDUP(SUM($F134:G134),0)&lt;$F$20,$F$20*$B$130,0))</f>
        <v>0</v>
      </c>
    </row>
    <row r="135" spans="1:8" hidden="1">
      <c r="A135" s="390">
        <f t="shared" si="23"/>
        <v>2028</v>
      </c>
      <c r="B135" s="391"/>
      <c r="C135" s="392"/>
      <c r="D135" s="392"/>
      <c r="E135" s="392"/>
      <c r="F135" s="392"/>
      <c r="G135" s="392">
        <f>+IF(G$20&lt;0,0,G$20*$B$130)</f>
        <v>0</v>
      </c>
      <c r="H135" s="392">
        <f>+IF(G135=0,0,+IF(ROUNDUP(SUM($G135:G135),0)&lt;$G$20,$G$20*$B$130,0))</f>
        <v>0</v>
      </c>
    </row>
    <row r="136" spans="1:8" hidden="1">
      <c r="A136" s="390">
        <f t="shared" si="23"/>
        <v>2029</v>
      </c>
      <c r="B136" s="391"/>
      <c r="C136" s="392"/>
      <c r="D136" s="392"/>
      <c r="E136" s="392"/>
      <c r="F136" s="392"/>
      <c r="G136" s="392"/>
      <c r="H136" s="392">
        <f>+IF(H$20&lt;0,0,H$20*$B$130)</f>
        <v>0</v>
      </c>
    </row>
    <row r="137" spans="1:8" hidden="1">
      <c r="A137" s="487" t="s">
        <v>172</v>
      </c>
      <c r="B137" s="487"/>
      <c r="C137" s="394">
        <f t="shared" ref="C137:H137" si="28">+C95+C102+C109+C116+C123+C130</f>
        <v>312.5</v>
      </c>
      <c r="D137" s="394">
        <f t="shared" si="28"/>
        <v>800</v>
      </c>
      <c r="E137" s="394">
        <f t="shared" si="28"/>
        <v>925</v>
      </c>
      <c r="F137" s="394">
        <f t="shared" si="28"/>
        <v>1075</v>
      </c>
      <c r="G137" s="394">
        <f t="shared" si="28"/>
        <v>812.5</v>
      </c>
      <c r="H137" s="394">
        <f t="shared" si="28"/>
        <v>450</v>
      </c>
    </row>
    <row r="138" spans="1:8" hidden="1">
      <c r="A138" s="395" t="s">
        <v>231</v>
      </c>
      <c r="B138" s="393"/>
      <c r="C138" s="428"/>
      <c r="D138" s="428"/>
      <c r="E138" s="428"/>
      <c r="F138" s="428"/>
      <c r="G138" s="428"/>
      <c r="H138" s="428"/>
    </row>
    <row r="139" spans="1:8" hidden="1">
      <c r="A139" s="393" t="s">
        <v>233</v>
      </c>
      <c r="B139" s="391">
        <f>+C70</f>
        <v>0.33333000000000002</v>
      </c>
      <c r="C139" s="392">
        <f t="shared" ref="C139:H139" si="29">SUM(C140:C145)</f>
        <v>1388.8888888888889</v>
      </c>
      <c r="D139" s="392">
        <f t="shared" si="29"/>
        <v>3333.3</v>
      </c>
      <c r="E139" s="392">
        <f t="shared" si="29"/>
        <v>5333.2800000000007</v>
      </c>
      <c r="F139" s="392">
        <f t="shared" si="29"/>
        <v>4944.4811111111112</v>
      </c>
      <c r="G139" s="392">
        <f t="shared" si="29"/>
        <v>2999.9700000000003</v>
      </c>
      <c r="H139" s="392">
        <f t="shared" si="29"/>
        <v>999.99</v>
      </c>
    </row>
    <row r="140" spans="1:8" hidden="1">
      <c r="A140" s="390">
        <f t="shared" ref="A140:A145" si="30">A103</f>
        <v>2024</v>
      </c>
      <c r="B140" s="391"/>
      <c r="C140" s="392">
        <f>+IF(C$24&lt;0,0,C$24*$B$146)/12*C75</f>
        <v>1388.8888888888889</v>
      </c>
      <c r="D140" s="392">
        <f>+IF(C140=0,0,+IF(ROUNDUP(SUM($C140:C140),0)&lt;$C$24,$C$24*$B$139,0))</f>
        <v>3333.3</v>
      </c>
      <c r="E140" s="392">
        <f>+IF(D140=0,0,+IF(ROUNDUP(SUM($C140:D140),0)&lt;$C$24,$C$24*B139,0))</f>
        <v>3333.3</v>
      </c>
      <c r="F140" s="392">
        <f>+IF(E140=0,0,+IF(ROUNDUP(SUM($C140:E140),0)&lt;$C24,MIN(($C24-SUM($C140:E140)),+$C24*$B$139),0))</f>
        <v>1944.5111111111109</v>
      </c>
      <c r="G140" s="392">
        <f>+IF(F140=0,0,+IF(ROUNDUP(SUM($C140:F140),0)&lt;$C24,MIN(($C24-SUM($C140:F140)),+$C24*$B$139),0))</f>
        <v>0</v>
      </c>
      <c r="H140" s="392">
        <f>+IF(G140=0,0,+IF(ROUNDUP(SUM($C140:G140),0)&lt;$C24,MIN(($C24-SUM($C140:G140)),+$C24*$B$139),0))</f>
        <v>0</v>
      </c>
    </row>
    <row r="141" spans="1:8" hidden="1">
      <c r="A141" s="390">
        <f t="shared" si="30"/>
        <v>2025</v>
      </c>
      <c r="B141" s="391"/>
      <c r="C141" s="392">
        <f>+IF(C$25&lt;0,0,C$25*$B$146)/12*C69</f>
        <v>0</v>
      </c>
      <c r="D141" s="392">
        <f>+IF(D$24&lt;0,0,D$24*$B$139)</f>
        <v>0</v>
      </c>
      <c r="E141" s="392">
        <f>+IF(D141=0,0,+IF(ROUNDUP(SUM($D141:D141),0)&lt;$D$24,$D$24*$B$139,0))</f>
        <v>0</v>
      </c>
      <c r="F141" s="392">
        <f>+IF(E141=0,0,+IF(ROUNDUP(SUM($D141:E141),0)&lt;$D$24,$D$24*$B$139,0))</f>
        <v>0</v>
      </c>
      <c r="G141" s="392">
        <f>+IF(F141=0,0,+IF(ROUNDUP(SUM($D141:F141),0)&lt;$D$24,$D$24*$B$139,0))</f>
        <v>0</v>
      </c>
      <c r="H141" s="392">
        <f>+IF(G141=0,0,+IF(ROUNDUP(SUM($D141:G141),0)&lt;$D$24,$D$24*$B$139,0))</f>
        <v>0</v>
      </c>
    </row>
    <row r="142" spans="1:8" hidden="1">
      <c r="A142" s="390">
        <f t="shared" si="30"/>
        <v>2026</v>
      </c>
      <c r="B142" s="391"/>
      <c r="C142" s="392"/>
      <c r="D142" s="392"/>
      <c r="E142" s="392">
        <f>+IF(E$24&lt;0,0,E$24*$B$139)</f>
        <v>1999.98</v>
      </c>
      <c r="F142" s="392">
        <f>+IF(E142=0,0,+IF(ROUNDUP(SUM($E142:E142),0)&lt;$E$24,$E$24*$B$139,0))</f>
        <v>1999.98</v>
      </c>
      <c r="G142" s="392">
        <f>+IF(F142=0,0,+IF(ROUNDUP(SUM($E142:F142),0)&lt;$E$24,$E$24*$B$139,0))</f>
        <v>1999.98</v>
      </c>
      <c r="H142" s="392">
        <f>+IF(G142=0,0,+IF(ROUNDUP(SUM($E142:G142),0)&lt;$E$24,$E$24*$B$139,0))</f>
        <v>0</v>
      </c>
    </row>
    <row r="143" spans="1:8" hidden="1">
      <c r="A143" s="390">
        <f t="shared" si="30"/>
        <v>2027</v>
      </c>
      <c r="B143" s="391"/>
      <c r="C143" s="392"/>
      <c r="D143" s="392"/>
      <c r="E143" s="392"/>
      <c r="F143" s="392">
        <f>+IF(F$24&lt;0,0,F$24*$B$139)</f>
        <v>999.99</v>
      </c>
      <c r="G143" s="392">
        <f>+IF(F143=0,0,+IF(ROUNDUP(SUM($F143:F143),0)&lt;$F$24,$F$24*$B$139,0))</f>
        <v>999.99</v>
      </c>
      <c r="H143" s="392">
        <f>+IF(G143=0,0,+IF(ROUNDUP(SUM($F143:G143),0)&lt;$F$24,$F$24*$B$139,0))</f>
        <v>999.99</v>
      </c>
    </row>
    <row r="144" spans="1:8" hidden="1">
      <c r="A144" s="390">
        <f t="shared" si="30"/>
        <v>2028</v>
      </c>
      <c r="B144" s="391"/>
      <c r="C144" s="392"/>
      <c r="D144" s="392"/>
      <c r="E144" s="392"/>
      <c r="F144" s="392"/>
      <c r="G144" s="392">
        <f>+IF(G$24&lt;0,0,G$24*$B$139)</f>
        <v>0</v>
      </c>
      <c r="H144" s="392">
        <f>+IF(G144=0,0,+IF(ROUNDUP(SUM($G144:G144),0)&lt;$G$24,$G$24*$B$139,0))</f>
        <v>0</v>
      </c>
    </row>
    <row r="145" spans="1:8" hidden="1">
      <c r="A145" s="390">
        <f t="shared" si="30"/>
        <v>2029</v>
      </c>
      <c r="B145" s="391"/>
      <c r="C145" s="392"/>
      <c r="D145" s="392"/>
      <c r="E145" s="392"/>
      <c r="F145" s="392"/>
      <c r="G145" s="392"/>
      <c r="H145" s="392">
        <f>+IF(H$24&lt;0,0,H$24*$B$139)</f>
        <v>0</v>
      </c>
    </row>
    <row r="146" spans="1:8" hidden="1">
      <c r="A146" s="393" t="s">
        <v>234</v>
      </c>
      <c r="B146" s="391">
        <f>+C71</f>
        <v>0.33333333333333331</v>
      </c>
      <c r="C146" s="392">
        <f t="shared" ref="C146:H146" si="31">SUM(C147:C152)</f>
        <v>20.833333333333336</v>
      </c>
      <c r="D146" s="392">
        <f t="shared" si="31"/>
        <v>100</v>
      </c>
      <c r="E146" s="392">
        <f t="shared" si="31"/>
        <v>150</v>
      </c>
      <c r="F146" s="392">
        <f t="shared" si="31"/>
        <v>179.16666666666666</v>
      </c>
      <c r="G146" s="392">
        <f t="shared" si="31"/>
        <v>150</v>
      </c>
      <c r="H146" s="392">
        <f t="shared" si="31"/>
        <v>150</v>
      </c>
    </row>
    <row r="147" spans="1:8" hidden="1">
      <c r="A147" s="390">
        <f t="shared" ref="A147:A152" si="32">A140</f>
        <v>2024</v>
      </c>
      <c r="B147" s="391"/>
      <c r="C147" s="392">
        <f>+IF(C$25&lt;0,0,C$25*$B$146)/12*C75</f>
        <v>20.833333333333336</v>
      </c>
      <c r="D147" s="392">
        <f>+IF(C147=0,0,+IF(ROUNDUP(SUM($C147:C147),0)&lt;$C$25,$C$25*$B$146-B147,0))</f>
        <v>50</v>
      </c>
      <c r="E147" s="392">
        <f>+IF(D147=0,0,+IF(ROUNDUP(SUM($C147:D147),0)&lt;$C$25,$C$25*$B$146,0))</f>
        <v>50</v>
      </c>
      <c r="F147" s="392">
        <f>+IF(E147=0,0,+IF(ROUNDUP(SUM($C147:E147),0)&lt;$C25,MIN(($C25-SUM($C147:E147)),+$C25*$B$146),0))</f>
        <v>29.166666666666657</v>
      </c>
      <c r="G147" s="392">
        <f>+IF(F147=0,0,+IF(ROUNDUP(SUM($C147:F147),0)&lt;$C25,MIN(($C25-SUM($C147:F147)),+$C25*$B$146),0))</f>
        <v>0</v>
      </c>
      <c r="H147" s="392">
        <f>+IF(G147=0,0,+IF(ROUNDUP(SUM($C147:G147),0)&lt;$C25,MIN(($C25-SUM($C147:G147)),+$C25*$B$146),0))</f>
        <v>0</v>
      </c>
    </row>
    <row r="148" spans="1:8" hidden="1">
      <c r="A148" s="390">
        <f t="shared" si="32"/>
        <v>2025</v>
      </c>
      <c r="B148" s="391"/>
      <c r="C148" s="392">
        <f>+IF(C$25&lt;0,0,C$25*$B$146)/12*C76</f>
        <v>0</v>
      </c>
      <c r="D148" s="392">
        <f>+IF(D$25&lt;0,0,D$25*$B$146)</f>
        <v>50</v>
      </c>
      <c r="E148" s="392">
        <f>+IF(D148=0,0,+IF(ROUNDUP(SUM($D148:D148),0)&lt;$D$25,$D$25*$B$146,0))</f>
        <v>50</v>
      </c>
      <c r="F148" s="392">
        <f>+IF(E148=0,0,+IF(ROUNDUP(SUM($D148:E148),0)&lt;$D$25,$D$25*$B$146,0))</f>
        <v>50</v>
      </c>
      <c r="G148" s="392">
        <f>+IF(F148=0,0,+IF(ROUNDUP(SUM($D148:F148),0)&lt;$D$25,$D$25*$B$146,0))</f>
        <v>0</v>
      </c>
      <c r="H148" s="392">
        <f>+IF(G148=0,0,+IF(ROUNDUP(SUM($D148:G148),0)&lt;$D$25,$D$25*$B$146,0))</f>
        <v>0</v>
      </c>
    </row>
    <row r="149" spans="1:8" hidden="1">
      <c r="A149" s="390">
        <f t="shared" si="32"/>
        <v>2026</v>
      </c>
      <c r="B149" s="391"/>
      <c r="C149" s="392"/>
      <c r="D149" s="392"/>
      <c r="E149" s="392">
        <f>+IF(E$25&lt;0,0,E$25*$B$146)</f>
        <v>50</v>
      </c>
      <c r="F149" s="392">
        <f>+IF(E149=0,0,+IF(ROUNDUP(SUM($E149:E149),0)&lt;$E$25,$E$25*$B$146,0))</f>
        <v>50</v>
      </c>
      <c r="G149" s="392">
        <f>+IF(F149=0,0,+IF(ROUNDUP(SUM($E149:F149),0)&lt;$E$25,$E$25*$B$146,0))</f>
        <v>50</v>
      </c>
      <c r="H149" s="392">
        <f>+IF(G149=0,0,+IF(ROUNDUP(SUM($E149:G149),0)&lt;$E$25,$E$25*$B$146,0))</f>
        <v>0</v>
      </c>
    </row>
    <row r="150" spans="1:8" hidden="1">
      <c r="A150" s="390">
        <f t="shared" si="32"/>
        <v>2027</v>
      </c>
      <c r="B150" s="391"/>
      <c r="C150" s="392"/>
      <c r="D150" s="392"/>
      <c r="E150" s="392"/>
      <c r="F150" s="392">
        <f>+IF(F$25&lt;0,0,F$25*$B$146)</f>
        <v>50</v>
      </c>
      <c r="G150" s="392">
        <f>+IF(F150=0,0,+IF(ROUNDUP(SUM($F150:F150),0)&lt;$F$25,$F$25*$B$146,0))</f>
        <v>50</v>
      </c>
      <c r="H150" s="392">
        <f>+IF(G150=0,0,+IF(ROUNDUP(SUM($F150:G150),0)&lt;$F$25,$F$25*$B$146,0))</f>
        <v>50</v>
      </c>
    </row>
    <row r="151" spans="1:8" hidden="1">
      <c r="A151" s="390">
        <f t="shared" si="32"/>
        <v>2028</v>
      </c>
      <c r="B151" s="391"/>
      <c r="C151" s="392"/>
      <c r="D151" s="392"/>
      <c r="E151" s="392"/>
      <c r="F151" s="392"/>
      <c r="G151" s="392">
        <f>+IF(G$25&lt;0,0,G$25*$B$146)</f>
        <v>50</v>
      </c>
      <c r="H151" s="392">
        <f>+IF(G151=0,0,+IF(ROUNDUP(SUM($G151:G151),0)&lt;$G$25,$G$25*$B$146,0))</f>
        <v>50</v>
      </c>
    </row>
    <row r="152" spans="1:8" hidden="1">
      <c r="A152" s="390">
        <f t="shared" si="32"/>
        <v>2029</v>
      </c>
      <c r="B152" s="391"/>
      <c r="C152" s="392"/>
      <c r="D152" s="392"/>
      <c r="E152" s="392"/>
      <c r="F152" s="392"/>
      <c r="G152" s="392"/>
      <c r="H152" s="392">
        <f>+IF(H$25&lt;0,0,H$25*$B$146)</f>
        <v>50</v>
      </c>
    </row>
    <row r="153" spans="1:8" hidden="1">
      <c r="A153" s="393" t="s">
        <v>235</v>
      </c>
      <c r="B153" s="391">
        <f>+C72</f>
        <v>0.2</v>
      </c>
      <c r="C153" s="392">
        <f t="shared" ref="C153:H153" si="33">SUM(C154:C159)</f>
        <v>0</v>
      </c>
      <c r="D153" s="392">
        <f t="shared" si="33"/>
        <v>0</v>
      </c>
      <c r="E153" s="392">
        <f t="shared" si="33"/>
        <v>0</v>
      </c>
      <c r="F153" s="392">
        <f t="shared" si="33"/>
        <v>0</v>
      </c>
      <c r="G153" s="392">
        <f t="shared" si="33"/>
        <v>0</v>
      </c>
      <c r="H153" s="392">
        <f t="shared" si="33"/>
        <v>0</v>
      </c>
    </row>
    <row r="154" spans="1:8" hidden="1">
      <c r="A154" s="390">
        <f t="shared" ref="A154:A166" si="34">A147</f>
        <v>2024</v>
      </c>
      <c r="B154" s="391"/>
      <c r="C154" s="392">
        <f>+IF(C$26&lt;0,0,C$26*$B$153)/12*C75</f>
        <v>0</v>
      </c>
      <c r="D154" s="392">
        <f>+IF(C154=0,0,+IF(ROUNDUP(SUM($C154:C154),0)&lt;$C$26,$C$26*$B$153,0))</f>
        <v>0</v>
      </c>
      <c r="E154" s="392">
        <f>+IF(D154=0,0,+IF(ROUNDUP(SUM($C154:D154),0)&lt;$C$26,$C$26*$B$153,0))</f>
        <v>0</v>
      </c>
      <c r="F154" s="392">
        <f>+IF(E154=0,0,+IF(ROUNDUP(SUM($C154:E154),0)&lt;$C26,MIN(($C26-SUM($C154:E154)),+$C26*$B$153),0))</f>
        <v>0</v>
      </c>
      <c r="G154" s="392">
        <f>+IF(F154=0,0,+IF(ROUNDUP(SUM($C154:F154),0)&lt;$C26,MIN(($C26-SUM($C154:F154)),+$C26*$B$153),0))</f>
        <v>0</v>
      </c>
      <c r="H154" s="392">
        <f>+IF(G154=0,0,+IF(ROUNDUP(SUM($C154:G154),0)&lt;$C26,MIN(($C26-SUM($C154:G154)),+$C26*$B$153),0))</f>
        <v>0</v>
      </c>
    </row>
    <row r="155" spans="1:8" hidden="1">
      <c r="A155" s="390">
        <f t="shared" si="34"/>
        <v>2025</v>
      </c>
      <c r="B155" s="391"/>
      <c r="C155" s="392"/>
      <c r="D155" s="392">
        <f>+IF(D$26&lt;0,0,D$26*$B$153)</f>
        <v>0</v>
      </c>
      <c r="E155" s="392">
        <f>+IF(D155=0,0,+IF(ROUNDUP(SUM($D155:D155),0)&lt;$D$26,$D$26*$B$153,0))</f>
        <v>0</v>
      </c>
      <c r="F155" s="392">
        <f>+IF(E155=0,0,+IF(ROUNDUP(SUM($D155:E155),0)&lt;$D$26,$D$26*$B$153,0))</f>
        <v>0</v>
      </c>
      <c r="G155" s="392">
        <f>+IF(F155=0,0,+IF(ROUNDUP(SUM($D155:F155),0)&lt;$D$26,$D$26*$B$153,0))</f>
        <v>0</v>
      </c>
      <c r="H155" s="392">
        <f>+IF(G155=0,0,+IF(ROUNDUP(SUM($D155:G155),0)&lt;$D$26,$D$26*$B$153,0))</f>
        <v>0</v>
      </c>
    </row>
    <row r="156" spans="1:8" hidden="1">
      <c r="A156" s="390">
        <f t="shared" si="34"/>
        <v>2026</v>
      </c>
      <c r="B156" s="391"/>
      <c r="C156" s="392"/>
      <c r="D156" s="392"/>
      <c r="E156" s="392">
        <f>+IF(E$26&lt;0,0,E$26*$B$153)</f>
        <v>0</v>
      </c>
      <c r="F156" s="392">
        <f>+IF(E156=0,0,+IF(ROUNDUP(SUM($E156:E156),0)&lt;$E$26,$E$26*$B$153,0))</f>
        <v>0</v>
      </c>
      <c r="G156" s="392">
        <f>+IF(F156=0,0,+IF(ROUNDUP(SUM($E156:F156),0)&lt;$E$26,$E$26*$B$153,0))</f>
        <v>0</v>
      </c>
      <c r="H156" s="392">
        <f>+IF(G156=0,0,+IF(ROUNDUP(SUM($E156:G156),0)&lt;$E$26,$E$26*$B$153,0))</f>
        <v>0</v>
      </c>
    </row>
    <row r="157" spans="1:8" hidden="1">
      <c r="A157" s="390">
        <f t="shared" si="34"/>
        <v>2027</v>
      </c>
      <c r="B157" s="391"/>
      <c r="C157" s="392"/>
      <c r="D157" s="392"/>
      <c r="E157" s="392"/>
      <c r="F157" s="392">
        <f>+IF(F$26&lt;0,0,F$26*$B$153)</f>
        <v>0</v>
      </c>
      <c r="G157" s="392">
        <f>+IF(F157=0,0,+IF(ROUNDUP(SUM($F157:F157),0)&lt;$F$26,$F$26*$B$153,0))</f>
        <v>0</v>
      </c>
      <c r="H157" s="392">
        <f>+IF(G157=0,0,+IF(ROUNDUP(SUM($F157:G157),0)&lt;$F$26,$F$26*$B$153,0))</f>
        <v>0</v>
      </c>
    </row>
    <row r="158" spans="1:8" hidden="1">
      <c r="A158" s="390">
        <f t="shared" si="34"/>
        <v>2028</v>
      </c>
      <c r="B158" s="391"/>
      <c r="C158" s="392"/>
      <c r="D158" s="392"/>
      <c r="E158" s="392"/>
      <c r="F158" s="392"/>
      <c r="G158" s="392">
        <f>+IF(G$26&lt;0,0,G$26*$B$153)</f>
        <v>0</v>
      </c>
      <c r="H158" s="392">
        <f>+IF(G158=0,0,+IF(ROUNDUP(SUM($G158:G158),0)&lt;$G$26,$G$26*$B$153,0))</f>
        <v>0</v>
      </c>
    </row>
    <row r="159" spans="1:8" hidden="1">
      <c r="A159" s="390">
        <f t="shared" si="34"/>
        <v>2029</v>
      </c>
      <c r="B159" s="391"/>
      <c r="C159" s="392"/>
      <c r="D159" s="392"/>
      <c r="E159" s="392"/>
      <c r="F159" s="392"/>
      <c r="G159" s="392"/>
      <c r="H159" s="392">
        <f>+IF(H$26&lt;0,0,H$26*$B$153)</f>
        <v>0</v>
      </c>
    </row>
    <row r="160" spans="1:8" hidden="1">
      <c r="A160" s="393" t="s">
        <v>236</v>
      </c>
      <c r="B160" s="391">
        <f>+C73</f>
        <v>0.33333333333333331</v>
      </c>
      <c r="C160" s="392">
        <f t="shared" ref="C160:H160" si="35">SUM(C161:C166)</f>
        <v>0</v>
      </c>
      <c r="D160" s="392">
        <f t="shared" si="35"/>
        <v>0</v>
      </c>
      <c r="E160" s="392">
        <f t="shared" si="35"/>
        <v>0</v>
      </c>
      <c r="F160" s="392">
        <f t="shared" si="35"/>
        <v>0</v>
      </c>
      <c r="G160" s="392">
        <f t="shared" si="35"/>
        <v>0</v>
      </c>
      <c r="H160" s="392">
        <f t="shared" si="35"/>
        <v>0</v>
      </c>
    </row>
    <row r="161" spans="1:8" hidden="1">
      <c r="A161" s="390">
        <f t="shared" si="34"/>
        <v>2024</v>
      </c>
      <c r="B161" s="391"/>
      <c r="C161" s="392">
        <f>+IF(C$27&lt;0,0,C$27*$B$160)/12*$C$75</f>
        <v>0</v>
      </c>
      <c r="D161" s="392">
        <f>+IF(C161=0,0,+IF(ROUNDUP(SUM($C161:C161),0)&lt;$C$27,$C$27*$B$160,0))</f>
        <v>0</v>
      </c>
      <c r="E161" s="392">
        <f>+IF(D161=0,0,+IF(ROUNDUP(SUM($C161:D161),0)&lt;$C$27,$C$27*$B$160,0))</f>
        <v>0</v>
      </c>
      <c r="F161" s="397">
        <f>+IF(E161=0,0,+IF(ROUNDUP(SUM($C161:E161),0)&lt;$C27,MIN(($C27-SUM($C161:E161)),+$C27*$B$160),0))</f>
        <v>0</v>
      </c>
      <c r="G161" s="392">
        <f>+IF(F161=0,0,+IF(ROUNDUP(SUM($C161:F161),0)&lt;$C27,MIN(($C27-SUM($C161:F161)),+$C27*$B$160),0))</f>
        <v>0</v>
      </c>
      <c r="H161" s="392">
        <f>+IF(G161=0,0,+IF(ROUNDUP(SUM($C161:G161),0)&lt;$C27,MIN(($C27-SUM($C161:G161)),+$C27*$B$160),0))</f>
        <v>0</v>
      </c>
    </row>
    <row r="162" spans="1:8" hidden="1">
      <c r="A162" s="390">
        <f t="shared" si="34"/>
        <v>2025</v>
      </c>
      <c r="B162" s="391"/>
      <c r="C162" s="392"/>
      <c r="D162" s="392">
        <f>+IF(D$27&lt;0,0,D$27*$B$160)</f>
        <v>0</v>
      </c>
      <c r="E162" s="392">
        <f>+IF(D162=0,0,+IF(ROUNDUP(SUM($D162:D162),0)&lt;$D$27,$D$27*$B$160,0))</f>
        <v>0</v>
      </c>
      <c r="F162" s="392">
        <f>+IF(E162=0,0,+IF(ROUNDUP(SUM($D162:E162),0)&lt;$D$27,$D$27*$B$160,0))</f>
        <v>0</v>
      </c>
      <c r="G162" s="392">
        <f>+IF(F162=0,0,+IF(ROUNDUP(SUM($D162:F162),0)&lt;$D$27,$D$27*$B$160,0))</f>
        <v>0</v>
      </c>
      <c r="H162" s="392">
        <f>+IF(G162=0,0,+IF(ROUNDUP(SUM($D162:G162),0)&lt;$D$27,$D$27*$B$160,0))</f>
        <v>0</v>
      </c>
    </row>
    <row r="163" spans="1:8" hidden="1">
      <c r="A163" s="390">
        <f t="shared" si="34"/>
        <v>2026</v>
      </c>
      <c r="B163" s="391"/>
      <c r="C163" s="392"/>
      <c r="D163" s="392"/>
      <c r="E163" s="392">
        <f>+IF(E$27&lt;0,0,E$27*$B$160)</f>
        <v>0</v>
      </c>
      <c r="F163" s="392">
        <f>+IF(E163=0,0,+IF(ROUNDUP(SUM($E163:E163),0)&lt;$E$27,$E$27*$B$160,0))</f>
        <v>0</v>
      </c>
      <c r="G163" s="392">
        <f>+IF(F163=0,0,+IF(ROUNDUP(SUM($E163:F163),0)&lt;$E$27,$E$27*$B$160,0))</f>
        <v>0</v>
      </c>
      <c r="H163" s="392">
        <f>+IF(G163=0,0,+IF(ROUNDUP(SUM($E163:G163),0)&lt;$E$27,$E$27*$B$160,0))</f>
        <v>0</v>
      </c>
    </row>
    <row r="164" spans="1:8" hidden="1">
      <c r="A164" s="390">
        <f t="shared" si="34"/>
        <v>2027</v>
      </c>
      <c r="B164" s="391"/>
      <c r="C164" s="392"/>
      <c r="D164" s="392"/>
      <c r="E164" s="392"/>
      <c r="F164" s="392">
        <f>+IF(F$27&lt;0,0,F$27*$B$160)</f>
        <v>0</v>
      </c>
      <c r="G164" s="392">
        <f>+IF(F164=0,0,+IF(ROUNDUP(SUM($F164:F164),0)&lt;$F$27,$F$27*$B$160,0))</f>
        <v>0</v>
      </c>
      <c r="H164" s="392">
        <f>+IF(G164=0,0,+IF(ROUNDUP(SUM($F164:G164),0)&lt;$F$27,$F$27*$B$160,0))</f>
        <v>0</v>
      </c>
    </row>
    <row r="165" spans="1:8" hidden="1">
      <c r="A165" s="390">
        <f t="shared" si="34"/>
        <v>2028</v>
      </c>
      <c r="B165" s="391"/>
      <c r="C165" s="392"/>
      <c r="D165" s="392"/>
      <c r="E165" s="392"/>
      <c r="F165" s="392"/>
      <c r="G165" s="392">
        <f>+IF(G$27&lt;0,0,G$27*$B$160)</f>
        <v>0</v>
      </c>
      <c r="H165" s="392">
        <f>+IF(G165=0,0,+IF(ROUNDUP(SUM($G165:G165),0)&lt;$G$27,$G$27*$B$160,0))</f>
        <v>0</v>
      </c>
    </row>
    <row r="166" spans="1:8" hidden="1">
      <c r="A166" s="390">
        <f t="shared" si="34"/>
        <v>2029</v>
      </c>
      <c r="B166" s="391"/>
      <c r="C166" s="392"/>
      <c r="D166" s="392"/>
      <c r="E166" s="392"/>
      <c r="F166" s="392"/>
      <c r="G166" s="392"/>
      <c r="H166" s="392">
        <f>+IF(H$27&lt;0,0,H$27*$B$160)</f>
        <v>0</v>
      </c>
    </row>
    <row r="167" spans="1:8" hidden="1">
      <c r="A167" s="492" t="s">
        <v>172</v>
      </c>
      <c r="B167" s="493"/>
      <c r="C167" s="389">
        <f t="shared" ref="C167:H167" si="36">+C139+C146+C153+C160</f>
        <v>1409.7222222222222</v>
      </c>
      <c r="D167" s="389">
        <f t="shared" si="36"/>
        <v>3433.3</v>
      </c>
      <c r="E167" s="389">
        <f t="shared" si="36"/>
        <v>5483.2800000000007</v>
      </c>
      <c r="F167" s="389">
        <f t="shared" si="36"/>
        <v>5123.6477777777782</v>
      </c>
      <c r="G167" s="389">
        <f t="shared" si="36"/>
        <v>3149.9700000000003</v>
      </c>
      <c r="H167" s="389">
        <f t="shared" si="36"/>
        <v>1149.99</v>
      </c>
    </row>
    <row r="168" spans="1:8">
      <c r="A168" s="494" t="s">
        <v>256</v>
      </c>
      <c r="B168" s="495"/>
      <c r="C168" s="297">
        <f t="shared" ref="C168:H168" si="37">+C93+C137+C167</f>
        <v>1722.2222222222222</v>
      </c>
      <c r="D168" s="297">
        <f t="shared" si="37"/>
        <v>4233.3</v>
      </c>
      <c r="E168" s="297">
        <f t="shared" si="37"/>
        <v>6408.2800000000007</v>
      </c>
      <c r="F168" s="297">
        <f t="shared" si="37"/>
        <v>6198.6477777777782</v>
      </c>
      <c r="G168" s="297">
        <f t="shared" si="37"/>
        <v>3962.4700000000003</v>
      </c>
      <c r="H168" s="297">
        <f t="shared" si="37"/>
        <v>1599.99</v>
      </c>
    </row>
    <row r="169" spans="1:8">
      <c r="A169" s="163"/>
      <c r="B169" s="163"/>
      <c r="C169" s="300"/>
      <c r="D169" s="300"/>
      <c r="E169" s="300"/>
      <c r="F169" s="300"/>
      <c r="G169" s="300"/>
      <c r="H169" s="300"/>
    </row>
    <row r="170" spans="1:8">
      <c r="A170" s="163"/>
      <c r="B170" s="163"/>
      <c r="C170" s="300"/>
      <c r="D170" s="300"/>
      <c r="E170" s="300"/>
      <c r="F170" s="300"/>
      <c r="G170" s="300"/>
      <c r="H170" s="300"/>
    </row>
    <row r="171" spans="1:8">
      <c r="A171" s="170" t="s">
        <v>257</v>
      </c>
      <c r="B171" s="171"/>
      <c r="C171" s="156">
        <f>+C7</f>
        <v>2024</v>
      </c>
      <c r="D171" s="156">
        <f>+C171+1</f>
        <v>2025</v>
      </c>
      <c r="E171" s="156">
        <f>+D171+1</f>
        <v>2026</v>
      </c>
      <c r="F171" s="156">
        <f>+E171+1</f>
        <v>2027</v>
      </c>
      <c r="G171" s="156">
        <f>+F171+1</f>
        <v>2028</v>
      </c>
      <c r="H171" s="156">
        <f>+G171+1</f>
        <v>2029</v>
      </c>
    </row>
    <row r="172" spans="1:8">
      <c r="A172" s="299" t="s">
        <v>217</v>
      </c>
      <c r="B172" s="158"/>
      <c r="C172" s="301">
        <f>+C93</f>
        <v>0</v>
      </c>
      <c r="D172" s="301">
        <f>+SUM(C93:D93)</f>
        <v>0</v>
      </c>
      <c r="E172" s="301">
        <f>+SUM(C93:E93)</f>
        <v>0</v>
      </c>
      <c r="F172" s="301">
        <f>+SUM(C93:F93)</f>
        <v>0</v>
      </c>
      <c r="G172" s="301">
        <f>+SUM(C93:G93)</f>
        <v>0</v>
      </c>
      <c r="H172" s="301">
        <f>+SUM(C93:H93)</f>
        <v>0</v>
      </c>
    </row>
    <row r="173" spans="1:8">
      <c r="A173" s="299" t="s">
        <v>222</v>
      </c>
      <c r="B173" s="158"/>
      <c r="C173" s="301">
        <f>+C137</f>
        <v>312.5</v>
      </c>
      <c r="D173" s="301">
        <f>+SUM(C137:D137)</f>
        <v>1112.5</v>
      </c>
      <c r="E173" s="301">
        <f>+SUM(C137:E137)</f>
        <v>2037.5</v>
      </c>
      <c r="F173" s="301">
        <f>+SUM(C137:F137)</f>
        <v>3112.5</v>
      </c>
      <c r="G173" s="301">
        <f>+SUM(C137:G137)</f>
        <v>3925</v>
      </c>
      <c r="H173" s="301">
        <f>+SUM(C137:H137)</f>
        <v>4375</v>
      </c>
    </row>
    <row r="174" spans="1:8">
      <c r="A174" s="298" t="s">
        <v>231</v>
      </c>
      <c r="B174" s="158"/>
      <c r="C174" s="296">
        <f>+C167</f>
        <v>1409.7222222222222</v>
      </c>
      <c r="D174" s="296">
        <f>+SUM(C167:D167)</f>
        <v>4843.0222222222219</v>
      </c>
      <c r="E174" s="296">
        <f>+SUM(C167:E167)</f>
        <v>10326.302222222223</v>
      </c>
      <c r="F174" s="296">
        <f>+SUM(C167:F167)</f>
        <v>15449.95</v>
      </c>
      <c r="G174" s="296">
        <f>+SUM(C167:G167)</f>
        <v>18599.920000000002</v>
      </c>
      <c r="H174" s="296">
        <f>+SUM(C167:H167)</f>
        <v>19749.910000000003</v>
      </c>
    </row>
    <row r="175" spans="1:8">
      <c r="A175" s="494" t="s">
        <v>172</v>
      </c>
      <c r="B175" s="495"/>
      <c r="C175" s="161">
        <f t="shared" ref="C175:H175" si="38">+C172+C173+C174</f>
        <v>1722.2222222222222</v>
      </c>
      <c r="D175" s="161">
        <f t="shared" si="38"/>
        <v>5955.5222222222219</v>
      </c>
      <c r="E175" s="161">
        <f t="shared" si="38"/>
        <v>12363.802222222223</v>
      </c>
      <c r="F175" s="161">
        <f t="shared" si="38"/>
        <v>18562.45</v>
      </c>
      <c r="G175" s="161">
        <f t="shared" si="38"/>
        <v>22524.920000000002</v>
      </c>
      <c r="H175" s="161">
        <f t="shared" si="38"/>
        <v>24124.910000000003</v>
      </c>
    </row>
    <row r="176" spans="1:8">
      <c r="A176" s="163"/>
      <c r="B176" s="163"/>
      <c r="C176" s="300"/>
      <c r="D176" s="300"/>
      <c r="E176" s="300"/>
      <c r="F176" s="300"/>
      <c r="G176" s="300"/>
      <c r="H176" s="300"/>
    </row>
    <row r="177" spans="1:8">
      <c r="A177" s="163"/>
      <c r="B177" s="163"/>
      <c r="C177" s="300"/>
      <c r="D177" s="300"/>
      <c r="E177" s="300"/>
      <c r="F177" s="300"/>
      <c r="G177" s="300"/>
      <c r="H177" s="300"/>
    </row>
    <row r="178" spans="1:8">
      <c r="A178" s="170" t="s">
        <v>258</v>
      </c>
      <c r="B178" s="171"/>
      <c r="C178" s="156">
        <f>+C7</f>
        <v>2024</v>
      </c>
      <c r="D178" s="156">
        <f>+C178+1</f>
        <v>2025</v>
      </c>
      <c r="E178" s="156">
        <f>+D178+1</f>
        <v>2026</v>
      </c>
      <c r="F178" s="156">
        <f>+E178+1</f>
        <v>2027</v>
      </c>
      <c r="G178" s="156">
        <f>+F178+1</f>
        <v>2028</v>
      </c>
      <c r="H178" s="156">
        <f>+G178+1</f>
        <v>2029</v>
      </c>
    </row>
    <row r="179" spans="1:8">
      <c r="A179" s="299" t="s">
        <v>217</v>
      </c>
      <c r="B179" s="158"/>
      <c r="C179" s="301">
        <f t="shared" ref="C179:H179" si="39">+C38-C172</f>
        <v>0</v>
      </c>
      <c r="D179" s="301">
        <f t="shared" si="39"/>
        <v>0</v>
      </c>
      <c r="E179" s="301">
        <f t="shared" si="39"/>
        <v>0</v>
      </c>
      <c r="F179" s="301">
        <f t="shared" si="39"/>
        <v>0</v>
      </c>
      <c r="G179" s="301">
        <f t="shared" si="39"/>
        <v>0</v>
      </c>
      <c r="H179" s="301">
        <f t="shared" si="39"/>
        <v>0</v>
      </c>
    </row>
    <row r="180" spans="1:8">
      <c r="A180" s="299" t="s">
        <v>222</v>
      </c>
      <c r="B180" s="158"/>
      <c r="C180" s="301">
        <f t="shared" ref="C180:H180" si="40">+C47-C173</f>
        <v>2687.5</v>
      </c>
      <c r="D180" s="301">
        <f t="shared" si="40"/>
        <v>2087.5</v>
      </c>
      <c r="E180" s="301">
        <f t="shared" si="40"/>
        <v>1662.5</v>
      </c>
      <c r="F180" s="301">
        <f t="shared" si="40"/>
        <v>1187.5</v>
      </c>
      <c r="G180" s="301">
        <f t="shared" si="40"/>
        <v>575</v>
      </c>
      <c r="H180" s="301">
        <f t="shared" si="40"/>
        <v>625</v>
      </c>
    </row>
    <row r="181" spans="1:8">
      <c r="A181" s="298" t="s">
        <v>231</v>
      </c>
      <c r="B181" s="158"/>
      <c r="C181" s="296">
        <f t="shared" ref="C181:H181" si="41">+C54-C174</f>
        <v>8740.2777777777774</v>
      </c>
      <c r="D181" s="296">
        <f t="shared" si="41"/>
        <v>5456.9777777777781</v>
      </c>
      <c r="E181" s="296">
        <f t="shared" si="41"/>
        <v>6123.6977777777774</v>
      </c>
      <c r="F181" s="296">
        <f t="shared" si="41"/>
        <v>4150.0499999999993</v>
      </c>
      <c r="G181" s="296">
        <f t="shared" si="41"/>
        <v>1150.0799999999981</v>
      </c>
      <c r="H181" s="296">
        <f t="shared" si="41"/>
        <v>150.08999999999651</v>
      </c>
    </row>
    <row r="182" spans="1:8">
      <c r="A182" s="494" t="s">
        <v>172</v>
      </c>
      <c r="B182" s="495"/>
      <c r="C182" s="161">
        <f t="shared" ref="C182:H182" si="42">+C179+C180+C181</f>
        <v>11427.777777777777</v>
      </c>
      <c r="D182" s="161">
        <f t="shared" si="42"/>
        <v>7544.4777777777781</v>
      </c>
      <c r="E182" s="161">
        <f t="shared" si="42"/>
        <v>7786.1977777777774</v>
      </c>
      <c r="F182" s="161">
        <f t="shared" si="42"/>
        <v>5337.5499999999993</v>
      </c>
      <c r="G182" s="161">
        <f t="shared" si="42"/>
        <v>1725.0799999999981</v>
      </c>
      <c r="H182" s="161">
        <f t="shared" si="42"/>
        <v>775.08999999999651</v>
      </c>
    </row>
  </sheetData>
  <sheetProtection password="8318" sheet="1"/>
  <mergeCells count="18">
    <mergeCell ref="A167:B167"/>
    <mergeCell ref="A182:B182"/>
    <mergeCell ref="A175:B175"/>
    <mergeCell ref="A168:B168"/>
    <mergeCell ref="A29:B29"/>
    <mergeCell ref="A55:B55"/>
    <mergeCell ref="A137:B137"/>
    <mergeCell ref="A38:B38"/>
    <mergeCell ref="A47:B47"/>
    <mergeCell ref="A54:B54"/>
    <mergeCell ref="A4:H4"/>
    <mergeCell ref="A28:B28"/>
    <mergeCell ref="A21:B21"/>
    <mergeCell ref="A12:B12"/>
    <mergeCell ref="A93:B93"/>
    <mergeCell ref="A7:B7"/>
    <mergeCell ref="A33:B33"/>
    <mergeCell ref="A58:C58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ignoredErrors>
    <ignoredError sqref="C71 C73" unlocked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BC11-12F3-4CEA-B0AF-37C58753E55E}">
  <sheetPr codeName="Sheet7"/>
  <dimension ref="A1:H106"/>
  <sheetViews>
    <sheetView showGridLines="0" showZeros="0" zoomScaleNormal="100" workbookViewId="0">
      <selection activeCell="M21" sqref="M21"/>
    </sheetView>
  </sheetViews>
  <sheetFormatPr defaultColWidth="8.7109375" defaultRowHeight="12.75"/>
  <cols>
    <col min="1" max="1" width="30.5703125" style="67" customWidth="1"/>
    <col min="2" max="2" width="8.7109375" style="67" customWidth="1"/>
    <col min="3" max="3" width="13.5703125" style="67" customWidth="1"/>
    <col min="4" max="4" width="12.140625" style="67" customWidth="1"/>
    <col min="5" max="8" width="11.7109375" style="67" customWidth="1"/>
    <col min="9" max="16384" width="8.7109375" style="67"/>
  </cols>
  <sheetData>
    <row r="1" spans="1:8" ht="13.5">
      <c r="A1" s="57"/>
      <c r="B1" s="57"/>
      <c r="C1" s="47"/>
      <c r="D1" s="47"/>
      <c r="E1" s="47"/>
      <c r="F1" s="47"/>
      <c r="G1" s="48" t="s">
        <v>26</v>
      </c>
      <c r="H1" s="49" t="str">
        <f>+Pressupostos!E1</f>
        <v>WAITR</v>
      </c>
    </row>
    <row r="2" spans="1:8">
      <c r="A2" s="57"/>
      <c r="B2" s="57"/>
      <c r="C2" s="57"/>
      <c r="D2" s="57"/>
      <c r="E2" s="57"/>
      <c r="F2" s="57"/>
      <c r="G2" s="57"/>
      <c r="H2" s="52" t="str">
        <f>+Pressupostos!B9</f>
        <v>Euros</v>
      </c>
    </row>
    <row r="3" spans="1:8">
      <c r="A3" s="57"/>
      <c r="B3" s="57"/>
      <c r="C3" s="57"/>
      <c r="D3" s="57"/>
      <c r="E3" s="57"/>
      <c r="F3" s="57"/>
      <c r="G3" s="57"/>
      <c r="H3" s="52"/>
    </row>
    <row r="4" spans="1:8" ht="15.75">
      <c r="A4" s="457" t="s">
        <v>259</v>
      </c>
      <c r="B4" s="457"/>
      <c r="C4" s="457"/>
      <c r="D4" s="457"/>
      <c r="E4" s="457"/>
      <c r="F4" s="457"/>
      <c r="G4" s="457"/>
      <c r="H4" s="457"/>
    </row>
    <row r="5" spans="1:8">
      <c r="A5" s="57"/>
      <c r="B5" s="57"/>
      <c r="C5" s="57"/>
      <c r="D5" s="57"/>
      <c r="E5" s="57"/>
      <c r="F5" s="57"/>
      <c r="G5" s="57"/>
      <c r="H5" s="57"/>
    </row>
    <row r="6" spans="1:8">
      <c r="A6" s="57"/>
      <c r="B6" s="57"/>
      <c r="C6" s="57"/>
      <c r="D6" s="57"/>
      <c r="E6" s="57"/>
      <c r="F6" s="57"/>
      <c r="G6" s="57"/>
      <c r="H6" s="57"/>
    </row>
    <row r="7" spans="1:8">
      <c r="A7" s="55"/>
      <c r="B7" s="76"/>
      <c r="C7" s="54">
        <f>+VN!C8</f>
        <v>2024</v>
      </c>
      <c r="D7" s="54">
        <f>+VN!D8</f>
        <v>2025</v>
      </c>
      <c r="E7" s="54">
        <f>+VN!E8</f>
        <v>2026</v>
      </c>
      <c r="F7" s="54">
        <f>+VN!F8</f>
        <v>2027</v>
      </c>
      <c r="G7" s="54">
        <f>+VN!G8</f>
        <v>2028</v>
      </c>
      <c r="H7" s="54">
        <f>+VN!H8</f>
        <v>2029</v>
      </c>
    </row>
    <row r="8" spans="1:8">
      <c r="A8" s="91" t="s">
        <v>260</v>
      </c>
      <c r="B8" s="94"/>
      <c r="C8" s="108">
        <f>Investimento!C29+FundoManeio!C24</f>
        <v>18821.229166666664</v>
      </c>
      <c r="D8" s="108">
        <f>Investimento!D29+FundoManeio!D24</f>
        <v>1396.4436666666679</v>
      </c>
      <c r="E8" s="108">
        <f>Investimento!E29+FundoManeio!E24</f>
        <v>10195.184018333335</v>
      </c>
      <c r="F8" s="108">
        <f>Investimento!F29+FundoManeio!F24</f>
        <v>11113.692641049996</v>
      </c>
      <c r="G8" s="108">
        <f>Investimento!G29+FundoManeio!G24</f>
        <v>15955.374460178173</v>
      </c>
      <c r="H8" s="108">
        <f>Investimento!H29+FundoManeio!H24</f>
        <v>23898.269680257959</v>
      </c>
    </row>
    <row r="9" spans="1:8">
      <c r="A9" s="102" t="s">
        <v>261</v>
      </c>
      <c r="B9" s="94"/>
      <c r="C9" s="28">
        <v>0.1</v>
      </c>
      <c r="D9" s="28">
        <v>0.1</v>
      </c>
      <c r="E9" s="28">
        <v>0.1</v>
      </c>
      <c r="F9" s="28">
        <v>0.1</v>
      </c>
      <c r="G9" s="28">
        <v>0.1</v>
      </c>
      <c r="H9" s="28">
        <v>0.1</v>
      </c>
    </row>
    <row r="10" spans="1:8" ht="13.5" thickBot="1">
      <c r="A10" s="172" t="s">
        <v>262</v>
      </c>
      <c r="B10" s="173"/>
      <c r="C10" s="142">
        <f t="shared" ref="C10:H10" si="0">+ROUND(C8*(1+C9),-2)</f>
        <v>20700</v>
      </c>
      <c r="D10" s="142">
        <f t="shared" si="0"/>
        <v>1500</v>
      </c>
      <c r="E10" s="142">
        <f t="shared" si="0"/>
        <v>11200</v>
      </c>
      <c r="F10" s="142">
        <f t="shared" si="0"/>
        <v>12200</v>
      </c>
      <c r="G10" s="142">
        <f t="shared" si="0"/>
        <v>17600</v>
      </c>
      <c r="H10" s="142">
        <f t="shared" si="0"/>
        <v>26300</v>
      </c>
    </row>
    <row r="11" spans="1:8" ht="13.5" thickTop="1">
      <c r="A11" s="57"/>
      <c r="B11" s="57"/>
      <c r="C11" s="174"/>
      <c r="D11" s="174"/>
      <c r="E11" s="174"/>
      <c r="F11" s="174"/>
      <c r="G11" s="174"/>
      <c r="H11" s="174"/>
    </row>
    <row r="12" spans="1:8">
      <c r="A12" s="57"/>
      <c r="B12" s="57"/>
      <c r="C12" s="174"/>
      <c r="D12" s="174"/>
      <c r="E12" s="174"/>
      <c r="F12" s="174"/>
      <c r="G12" s="174"/>
      <c r="H12" s="174"/>
    </row>
    <row r="13" spans="1:8">
      <c r="A13" s="91" t="s">
        <v>263</v>
      </c>
      <c r="B13" s="94"/>
      <c r="C13" s="54">
        <f t="shared" ref="C13:H13" si="1">+C7</f>
        <v>2024</v>
      </c>
      <c r="D13" s="54">
        <f t="shared" si="1"/>
        <v>2025</v>
      </c>
      <c r="E13" s="54">
        <f t="shared" si="1"/>
        <v>2026</v>
      </c>
      <c r="F13" s="54">
        <f t="shared" si="1"/>
        <v>2027</v>
      </c>
      <c r="G13" s="54">
        <f t="shared" si="1"/>
        <v>2028</v>
      </c>
      <c r="H13" s="54">
        <f t="shared" si="1"/>
        <v>2029</v>
      </c>
    </row>
    <row r="14" spans="1:8">
      <c r="A14" s="58" t="s">
        <v>264</v>
      </c>
      <c r="B14" s="94"/>
      <c r="C14" s="141">
        <f>IF(+'Cash Flow'!C12&gt;0,'Cash Flow'!C12,0)</f>
        <v>0</v>
      </c>
      <c r="D14" s="141">
        <f>IF(+'Cash Flow'!D12&gt;0,'Cash Flow'!D12,0)</f>
        <v>0</v>
      </c>
      <c r="E14" s="141">
        <f>IF(+'Cash Flow'!E12&gt;0,'Cash Flow'!E12,0)</f>
        <v>0</v>
      </c>
      <c r="F14" s="141">
        <f>IF(+'Cash Flow'!F12&gt;0,'Cash Flow'!F12,0)</f>
        <v>5625.6209059694474</v>
      </c>
      <c r="G14" s="141">
        <f>IF(+'Cash Flow'!G12&gt;0,'Cash Flow'!G12,0)</f>
        <v>42571.018602552314</v>
      </c>
      <c r="H14" s="141">
        <f>IF(+'Cash Flow'!H12&gt;0,'Cash Flow'!H12,0)</f>
        <v>99638.192320050817</v>
      </c>
    </row>
    <row r="15" spans="1:8">
      <c r="A15" s="58" t="s">
        <v>265</v>
      </c>
      <c r="B15" s="94"/>
      <c r="C15" s="45"/>
      <c r="D15" s="45"/>
      <c r="E15" s="45"/>
      <c r="F15" s="45"/>
      <c r="G15" s="45"/>
      <c r="H15" s="45"/>
    </row>
    <row r="16" spans="1:8">
      <c r="A16" s="58" t="s">
        <v>266</v>
      </c>
      <c r="B16" s="94"/>
      <c r="C16" s="45"/>
      <c r="D16" s="45"/>
      <c r="E16" s="45"/>
      <c r="F16" s="45"/>
      <c r="G16" s="45"/>
      <c r="H16" s="45"/>
    </row>
    <row r="17" spans="1:8">
      <c r="A17" s="58" t="s">
        <v>267</v>
      </c>
      <c r="B17" s="94"/>
      <c r="C17" s="45">
        <v>5000</v>
      </c>
      <c r="D17" s="45"/>
      <c r="E17" s="45"/>
      <c r="F17" s="45"/>
      <c r="G17" s="45"/>
      <c r="H17" s="45"/>
    </row>
    <row r="18" spans="1:8">
      <c r="A18" s="58" t="s">
        <v>268</v>
      </c>
      <c r="B18" s="76"/>
      <c r="C18" s="38">
        <v>10000</v>
      </c>
      <c r="D18" s="38"/>
      <c r="E18" s="38"/>
      <c r="F18" s="38"/>
      <c r="G18" s="38"/>
      <c r="H18" s="38"/>
    </row>
    <row r="19" spans="1:8">
      <c r="A19" s="302" t="s">
        <v>269</v>
      </c>
      <c r="B19" s="267"/>
      <c r="C19" s="39"/>
      <c r="D19" s="39"/>
      <c r="E19" s="39"/>
      <c r="F19" s="39"/>
      <c r="G19" s="39"/>
      <c r="H19" s="39"/>
    </row>
    <row r="20" spans="1:8" ht="14.25" customHeight="1" thickBot="1">
      <c r="A20" s="466" t="s">
        <v>82</v>
      </c>
      <c r="B20" s="468"/>
      <c r="C20" s="142">
        <f t="shared" ref="C20:H20" si="2">SUM(C14:C19)</f>
        <v>15000</v>
      </c>
      <c r="D20" s="142">
        <f t="shared" si="2"/>
        <v>0</v>
      </c>
      <c r="E20" s="142">
        <f t="shared" si="2"/>
        <v>0</v>
      </c>
      <c r="F20" s="142">
        <f t="shared" si="2"/>
        <v>5625.6209059694474</v>
      </c>
      <c r="G20" s="142">
        <f t="shared" si="2"/>
        <v>42571.018602552314</v>
      </c>
      <c r="H20" s="142">
        <f t="shared" si="2"/>
        <v>99638.192320050817</v>
      </c>
    </row>
    <row r="21" spans="1:8" ht="13.5" thickTop="1">
      <c r="A21" s="57"/>
      <c r="B21" s="57"/>
      <c r="C21" s="175"/>
      <c r="D21" s="175"/>
      <c r="E21" s="175"/>
      <c r="F21" s="175"/>
      <c r="G21" s="175"/>
      <c r="H21" s="175"/>
    </row>
    <row r="22" spans="1:8">
      <c r="A22" s="57" t="s">
        <v>270</v>
      </c>
      <c r="B22" s="416">
        <v>6</v>
      </c>
      <c r="C22" s="176"/>
      <c r="D22" s="176"/>
      <c r="E22" s="176"/>
      <c r="F22" s="176"/>
      <c r="G22" s="176"/>
      <c r="H22" s="176"/>
    </row>
    <row r="23" spans="1:8">
      <c r="A23" s="57" t="s">
        <v>271</v>
      </c>
      <c r="B23" s="417">
        <v>2.5000000000000001E-2</v>
      </c>
      <c r="C23" s="176"/>
      <c r="D23" s="176"/>
      <c r="E23" s="176"/>
      <c r="F23" s="176"/>
      <c r="G23" s="176"/>
      <c r="H23" s="176"/>
    </row>
    <row r="24" spans="1:8">
      <c r="A24" s="57" t="s">
        <v>272</v>
      </c>
      <c r="B24" s="416">
        <v>2</v>
      </c>
      <c r="C24" s="176"/>
      <c r="D24" s="176"/>
      <c r="E24" s="176"/>
      <c r="F24" s="176"/>
      <c r="G24" s="176"/>
      <c r="H24" s="176"/>
    </row>
    <row r="25" spans="1:8">
      <c r="A25" s="57"/>
      <c r="B25" s="57"/>
      <c r="C25" s="57"/>
      <c r="D25" s="57"/>
      <c r="E25" s="57"/>
      <c r="F25" s="57"/>
      <c r="G25" s="57"/>
      <c r="H25" s="57"/>
    </row>
    <row r="26" spans="1:8">
      <c r="A26" s="190">
        <f>+C13</f>
        <v>2024</v>
      </c>
      <c r="B26" s="57"/>
      <c r="C26" s="57"/>
      <c r="D26" s="57"/>
      <c r="E26" s="57"/>
      <c r="F26" s="57"/>
      <c r="G26" s="57"/>
      <c r="H26" s="57"/>
    </row>
    <row r="27" spans="1:8">
      <c r="A27" s="58" t="s">
        <v>273</v>
      </c>
      <c r="B27" s="76"/>
      <c r="C27" s="178">
        <f>+C18</f>
        <v>10000</v>
      </c>
      <c r="D27" s="141">
        <f>+C33</f>
        <v>10000</v>
      </c>
      <c r="E27" s="141">
        <f>+D33</f>
        <v>10000</v>
      </c>
      <c r="F27" s="141">
        <f>+E33</f>
        <v>8333.3333333333339</v>
      </c>
      <c r="G27" s="141">
        <f>+F33</f>
        <v>6666.666666666667</v>
      </c>
      <c r="H27" s="141">
        <f>+G33</f>
        <v>5000</v>
      </c>
    </row>
    <row r="28" spans="1:8">
      <c r="A28" s="58" t="s">
        <v>274</v>
      </c>
      <c r="B28" s="76"/>
      <c r="C28" s="180">
        <f t="shared" ref="C28:H28" si="3">$B$23</f>
        <v>2.5000000000000001E-2</v>
      </c>
      <c r="D28" s="180">
        <f t="shared" si="3"/>
        <v>2.5000000000000001E-2</v>
      </c>
      <c r="E28" s="180">
        <f t="shared" si="3"/>
        <v>2.5000000000000001E-2</v>
      </c>
      <c r="F28" s="180">
        <f t="shared" si="3"/>
        <v>2.5000000000000001E-2</v>
      </c>
      <c r="G28" s="180">
        <f t="shared" si="3"/>
        <v>2.5000000000000001E-2</v>
      </c>
      <c r="H28" s="180">
        <f t="shared" si="3"/>
        <v>2.5000000000000001E-2</v>
      </c>
    </row>
    <row r="29" spans="1:8">
      <c r="A29" s="58" t="s">
        <v>275</v>
      </c>
      <c r="B29" s="76"/>
      <c r="C29" s="141">
        <f>+C27*C28*FSE!F8/12</f>
        <v>104.16666666666667</v>
      </c>
      <c r="D29" s="141">
        <f>+D27*D28</f>
        <v>250</v>
      </c>
      <c r="E29" s="141">
        <f>+E27*E28</f>
        <v>250</v>
      </c>
      <c r="F29" s="141">
        <f>+F27*F28</f>
        <v>208.33333333333337</v>
      </c>
      <c r="G29" s="141">
        <f>+G27*G28</f>
        <v>166.66666666666669</v>
      </c>
      <c r="H29" s="141">
        <f>+H27*H28</f>
        <v>125</v>
      </c>
    </row>
    <row r="30" spans="1:8">
      <c r="A30" s="58" t="s">
        <v>276</v>
      </c>
      <c r="B30" s="76"/>
      <c r="C30" s="141">
        <f>IF(B24&gt;0,0,C27/B22)</f>
        <v>0</v>
      </c>
      <c r="D30" s="141">
        <f>IF(B24&gt;=2,0,IF(C27=0,0,+$C$27/$B$22))</f>
        <v>0</v>
      </c>
      <c r="E30" s="141">
        <f>IF(B24&gt;=3,0,IF(D33&lt;=0,0,+$C$27/$B$22))</f>
        <v>1666.6666666666667</v>
      </c>
      <c r="F30" s="141">
        <f>IF(B24&gt;=4,0,IF(E33&lt;=0,0,+$C$27/$B$22))</f>
        <v>1666.6666666666667</v>
      </c>
      <c r="G30" s="141">
        <f>IF(B24&gt;=5,0,IF(F33&lt;=0,0,+$C$27/$B$22))</f>
        <v>1666.6666666666667</v>
      </c>
      <c r="H30" s="141">
        <f>IF(B24&gt;=6,0,IF(G33&lt;=0,0,+$C$27/$B$22))</f>
        <v>1666.6666666666667</v>
      </c>
    </row>
    <row r="31" spans="1:8">
      <c r="A31" s="58" t="s">
        <v>277</v>
      </c>
      <c r="B31" s="76"/>
      <c r="C31" s="141">
        <f t="shared" ref="C31:H31" si="4">+C29*0.004</f>
        <v>0.41666666666666669</v>
      </c>
      <c r="D31" s="141">
        <f t="shared" si="4"/>
        <v>1</v>
      </c>
      <c r="E31" s="141">
        <f t="shared" si="4"/>
        <v>1</v>
      </c>
      <c r="F31" s="141">
        <f t="shared" si="4"/>
        <v>0.83333333333333348</v>
      </c>
      <c r="G31" s="141">
        <f t="shared" si="4"/>
        <v>0.66666666666666674</v>
      </c>
      <c r="H31" s="141">
        <f t="shared" si="4"/>
        <v>0.5</v>
      </c>
    </row>
    <row r="32" spans="1:8">
      <c r="A32" s="58" t="s">
        <v>278</v>
      </c>
      <c r="B32" s="76"/>
      <c r="C32" s="141">
        <f t="shared" ref="C32:H32" si="5">+C29+C30+C31</f>
        <v>104.58333333333334</v>
      </c>
      <c r="D32" s="141">
        <f t="shared" si="5"/>
        <v>251</v>
      </c>
      <c r="E32" s="141">
        <f t="shared" si="5"/>
        <v>1917.6666666666667</v>
      </c>
      <c r="F32" s="141">
        <f t="shared" si="5"/>
        <v>1875.8333333333333</v>
      </c>
      <c r="G32" s="141">
        <f t="shared" si="5"/>
        <v>1834.0000000000002</v>
      </c>
      <c r="H32" s="141">
        <f t="shared" si="5"/>
        <v>1792.1666666666667</v>
      </c>
    </row>
    <row r="33" spans="1:8">
      <c r="A33" s="58" t="s">
        <v>279</v>
      </c>
      <c r="B33" s="76"/>
      <c r="C33" s="182">
        <f t="shared" ref="C33:H33" si="6">+C27-C30</f>
        <v>10000</v>
      </c>
      <c r="D33" s="141">
        <f t="shared" si="6"/>
        <v>10000</v>
      </c>
      <c r="E33" s="141">
        <f t="shared" si="6"/>
        <v>8333.3333333333339</v>
      </c>
      <c r="F33" s="141">
        <f t="shared" si="6"/>
        <v>6666.666666666667</v>
      </c>
      <c r="G33" s="141">
        <f t="shared" si="6"/>
        <v>5000</v>
      </c>
      <c r="H33" s="141">
        <f t="shared" si="6"/>
        <v>3333.333333333333</v>
      </c>
    </row>
    <row r="34" spans="1:8">
      <c r="A34" s="57"/>
      <c r="B34" s="57"/>
      <c r="C34" s="57"/>
      <c r="D34" s="57"/>
      <c r="E34" s="57"/>
      <c r="F34" s="57"/>
      <c r="G34" s="57"/>
      <c r="H34" s="57"/>
    </row>
    <row r="35" spans="1:8">
      <c r="A35" s="57" t="s">
        <v>270</v>
      </c>
      <c r="B35" s="416">
        <v>1</v>
      </c>
      <c r="C35" s="57"/>
      <c r="D35" s="57"/>
      <c r="E35" s="57"/>
      <c r="F35" s="57"/>
      <c r="G35" s="57"/>
      <c r="H35" s="57"/>
    </row>
    <row r="36" spans="1:8">
      <c r="A36" s="57" t="s">
        <v>271</v>
      </c>
      <c r="B36" s="417"/>
      <c r="C36" s="57"/>
      <c r="D36" s="57"/>
      <c r="E36" s="57"/>
      <c r="F36" s="57"/>
      <c r="G36" s="57"/>
      <c r="H36" s="57"/>
    </row>
    <row r="37" spans="1:8">
      <c r="A37" s="57" t="s">
        <v>272</v>
      </c>
      <c r="B37" s="416">
        <v>0</v>
      </c>
      <c r="C37" s="57"/>
      <c r="D37" s="57"/>
      <c r="E37" s="57"/>
      <c r="F37" s="57"/>
      <c r="G37" s="57"/>
      <c r="H37" s="57"/>
    </row>
    <row r="38" spans="1:8">
      <c r="A38" s="57"/>
      <c r="B38" s="57"/>
      <c r="C38" s="57"/>
      <c r="D38" s="57"/>
      <c r="E38" s="57"/>
      <c r="F38" s="57"/>
      <c r="G38" s="57"/>
      <c r="H38" s="57"/>
    </row>
    <row r="39" spans="1:8">
      <c r="A39" s="190">
        <f>+D13</f>
        <v>2025</v>
      </c>
      <c r="B39" s="57"/>
      <c r="C39" s="57"/>
      <c r="D39" s="57"/>
      <c r="E39" s="57"/>
      <c r="F39" s="57"/>
      <c r="G39" s="57"/>
      <c r="H39" s="57"/>
    </row>
    <row r="40" spans="1:8">
      <c r="A40" s="58" t="s">
        <v>273</v>
      </c>
      <c r="B40" s="76"/>
      <c r="C40" s="178">
        <f>+C29</f>
        <v>104.16666666666667</v>
      </c>
      <c r="D40" s="141">
        <f>+D18</f>
        <v>0</v>
      </c>
      <c r="E40" s="141">
        <f>+D46</f>
        <v>0</v>
      </c>
      <c r="F40" s="141">
        <f>+E46</f>
        <v>0</v>
      </c>
      <c r="G40" s="141">
        <f>+F46</f>
        <v>0</v>
      </c>
      <c r="H40" s="141">
        <f>+G46</f>
        <v>0</v>
      </c>
    </row>
    <row r="41" spans="1:8">
      <c r="A41" s="58" t="s">
        <v>274</v>
      </c>
      <c r="B41" s="76"/>
      <c r="C41" s="179"/>
      <c r="D41" s="180">
        <f>$B$36</f>
        <v>0</v>
      </c>
      <c r="E41" s="180">
        <f>$B$36</f>
        <v>0</v>
      </c>
      <c r="F41" s="180">
        <f>$B$36</f>
        <v>0</v>
      </c>
      <c r="G41" s="180">
        <f>$B$36</f>
        <v>0</v>
      </c>
      <c r="H41" s="180">
        <f>$B$36</f>
        <v>0</v>
      </c>
    </row>
    <row r="42" spans="1:8">
      <c r="A42" s="58" t="s">
        <v>275</v>
      </c>
      <c r="B42" s="76"/>
      <c r="C42" s="181"/>
      <c r="D42" s="141">
        <f>+D40*D41</f>
        <v>0</v>
      </c>
      <c r="E42" s="141">
        <f>+E40*E41</f>
        <v>0</v>
      </c>
      <c r="F42" s="141">
        <f>+F40*F41</f>
        <v>0</v>
      </c>
      <c r="G42" s="141">
        <f>+G40*G41</f>
        <v>0</v>
      </c>
      <c r="H42" s="141">
        <f>+H40*H41</f>
        <v>0</v>
      </c>
    </row>
    <row r="43" spans="1:8">
      <c r="A43" s="58" t="s">
        <v>276</v>
      </c>
      <c r="B43" s="76"/>
      <c r="C43" s="181"/>
      <c r="D43" s="141">
        <f>IF(B37&gt;0,0,D40/B35)</f>
        <v>0</v>
      </c>
      <c r="E43" s="141">
        <f>IF(B37&gt;=2,0,IF(D46&lt;=0,0,+$D$40/$B$35))</f>
        <v>0</v>
      </c>
      <c r="F43" s="141">
        <f>IF(B37&gt;=3,0,IF(E46&lt;=0,0,+$D$40/$B$35))</f>
        <v>0</v>
      </c>
      <c r="G43" s="141">
        <f>IF(B37&gt;=4,0,IF(F46&lt;=0,0,+$D$40/$B$35))</f>
        <v>0</v>
      </c>
      <c r="H43" s="141">
        <f>IF(B37&gt;=5,0,IF(G46&lt;=0,0,+$D$40/$B$35))</f>
        <v>0</v>
      </c>
    </row>
    <row r="44" spans="1:8">
      <c r="A44" s="58" t="s">
        <v>277</v>
      </c>
      <c r="B44" s="76"/>
      <c r="C44" s="181"/>
      <c r="D44" s="141">
        <f>0.004*D42</f>
        <v>0</v>
      </c>
      <c r="E44" s="141">
        <f>0.004*E42</f>
        <v>0</v>
      </c>
      <c r="F44" s="141">
        <f>0.004*F42</f>
        <v>0</v>
      </c>
      <c r="G44" s="141">
        <f>0.004*G42</f>
        <v>0</v>
      </c>
      <c r="H44" s="141">
        <f>0.004*H42</f>
        <v>0</v>
      </c>
    </row>
    <row r="45" spans="1:8">
      <c r="A45" s="58" t="s">
        <v>278</v>
      </c>
      <c r="B45" s="76"/>
      <c r="C45" s="181"/>
      <c r="D45" s="141">
        <f>+D42+D43+D44</f>
        <v>0</v>
      </c>
      <c r="E45" s="141">
        <f>+E42+E43+E44</f>
        <v>0</v>
      </c>
      <c r="F45" s="141">
        <f>+F42+F43+F44</f>
        <v>0</v>
      </c>
      <c r="G45" s="141">
        <f>+G42+G43+G44</f>
        <v>0</v>
      </c>
      <c r="H45" s="141">
        <f>+H42+H43+H44</f>
        <v>0</v>
      </c>
    </row>
    <row r="46" spans="1:8">
      <c r="A46" s="58" t="s">
        <v>279</v>
      </c>
      <c r="B46" s="76"/>
      <c r="C46" s="126"/>
      <c r="D46" s="141">
        <f>+D40-D43</f>
        <v>0</v>
      </c>
      <c r="E46" s="141">
        <f>+E40-E43</f>
        <v>0</v>
      </c>
      <c r="F46" s="141">
        <f>+F40-F43</f>
        <v>0</v>
      </c>
      <c r="G46" s="141">
        <f>+G40-G43</f>
        <v>0</v>
      </c>
      <c r="H46" s="141">
        <f>+H40-H43</f>
        <v>0</v>
      </c>
    </row>
    <row r="47" spans="1:8">
      <c r="A47" s="57"/>
      <c r="B47" s="57"/>
      <c r="C47" s="57"/>
      <c r="D47" s="57"/>
      <c r="E47" s="57"/>
      <c r="F47" s="57"/>
      <c r="G47" s="57"/>
      <c r="H47" s="57"/>
    </row>
    <row r="48" spans="1:8">
      <c r="A48" s="57" t="s">
        <v>270</v>
      </c>
      <c r="B48" s="416">
        <v>1</v>
      </c>
      <c r="C48" s="57"/>
      <c r="D48" s="57"/>
      <c r="E48" s="57"/>
      <c r="F48" s="57"/>
      <c r="G48" s="57"/>
      <c r="H48" s="57"/>
    </row>
    <row r="49" spans="1:8">
      <c r="A49" s="57" t="s">
        <v>271</v>
      </c>
      <c r="B49" s="417"/>
      <c r="C49" s="57"/>
      <c r="D49" s="57"/>
      <c r="E49" s="57"/>
      <c r="F49" s="57"/>
      <c r="G49" s="57"/>
      <c r="H49" s="57"/>
    </row>
    <row r="50" spans="1:8">
      <c r="A50" s="57" t="s">
        <v>272</v>
      </c>
      <c r="B50" s="416"/>
      <c r="C50" s="57"/>
      <c r="D50" s="57"/>
      <c r="E50" s="57"/>
      <c r="F50" s="57"/>
      <c r="G50" s="57"/>
      <c r="H50" s="57"/>
    </row>
    <row r="51" spans="1:8">
      <c r="A51" s="57"/>
      <c r="B51" s="57"/>
      <c r="C51" s="57"/>
      <c r="D51" s="57"/>
      <c r="E51" s="57"/>
      <c r="F51" s="57"/>
      <c r="G51" s="57"/>
      <c r="H51" s="57"/>
    </row>
    <row r="52" spans="1:8">
      <c r="A52" s="190">
        <f>+E13</f>
        <v>2026</v>
      </c>
      <c r="B52" s="57"/>
      <c r="C52" s="57"/>
      <c r="D52" s="57"/>
      <c r="E52" s="57"/>
      <c r="F52" s="57"/>
      <c r="G52" s="57"/>
      <c r="H52" s="57"/>
    </row>
    <row r="53" spans="1:8">
      <c r="A53" s="58" t="s">
        <v>273</v>
      </c>
      <c r="B53" s="76"/>
      <c r="C53" s="183">
        <f>+C42</f>
        <v>0</v>
      </c>
      <c r="D53" s="189"/>
      <c r="E53" s="141">
        <f>+E18</f>
        <v>0</v>
      </c>
      <c r="F53" s="141">
        <f>+E59</f>
        <v>0</v>
      </c>
      <c r="G53" s="141">
        <f>+F59</f>
        <v>0</v>
      </c>
      <c r="H53" s="141">
        <f>+G59</f>
        <v>0</v>
      </c>
    </row>
    <row r="54" spans="1:8">
      <c r="A54" s="58" t="s">
        <v>274</v>
      </c>
      <c r="B54" s="76"/>
      <c r="C54" s="185"/>
      <c r="D54" s="186"/>
      <c r="E54" s="180">
        <f>$B$49</f>
        <v>0</v>
      </c>
      <c r="F54" s="180">
        <f>$B$49</f>
        <v>0</v>
      </c>
      <c r="G54" s="180">
        <f>$B$49</f>
        <v>0</v>
      </c>
      <c r="H54" s="180">
        <f>$B$49</f>
        <v>0</v>
      </c>
    </row>
    <row r="55" spans="1:8">
      <c r="A55" s="58" t="s">
        <v>275</v>
      </c>
      <c r="B55" s="76"/>
      <c r="C55" s="187"/>
      <c r="D55" s="188"/>
      <c r="E55" s="141">
        <f>+E53*E54</f>
        <v>0</v>
      </c>
      <c r="F55" s="182">
        <f>+F53*F54</f>
        <v>0</v>
      </c>
      <c r="G55" s="182">
        <f>+G53*G54</f>
        <v>0</v>
      </c>
      <c r="H55" s="182">
        <f>+H53*H54</f>
        <v>0</v>
      </c>
    </row>
    <row r="56" spans="1:8">
      <c r="A56" s="58" t="s">
        <v>276</v>
      </c>
      <c r="B56" s="76"/>
      <c r="C56" s="187"/>
      <c r="D56" s="188"/>
      <c r="E56" s="141">
        <f>IF(B50&gt;0,0,E53/B48)</f>
        <v>0</v>
      </c>
      <c r="F56" s="141">
        <f>IF(B50&gt;=2,0,IF(E59&lt;=9,0,$E$53/$B$48))</f>
        <v>0</v>
      </c>
      <c r="G56" s="141">
        <f>IF(B50&gt;=3,0,IF(F59&lt;=9,0,$E$53/$B$48))</f>
        <v>0</v>
      </c>
      <c r="H56" s="141">
        <f>IF(B50&gt;=4,0,IF(G59&lt;=9,0,$E$53/$B$48))</f>
        <v>0</v>
      </c>
    </row>
    <row r="57" spans="1:8">
      <c r="A57" s="58" t="s">
        <v>277</v>
      </c>
      <c r="B57" s="76"/>
      <c r="C57" s="187"/>
      <c r="D57" s="188"/>
      <c r="E57" s="141">
        <f>0.004*E55</f>
        <v>0</v>
      </c>
      <c r="F57" s="182">
        <f>0.004*F55</f>
        <v>0</v>
      </c>
      <c r="G57" s="182">
        <f>0.004*G55</f>
        <v>0</v>
      </c>
      <c r="H57" s="182">
        <f>0.004*H55</f>
        <v>0</v>
      </c>
    </row>
    <row r="58" spans="1:8">
      <c r="A58" s="58" t="s">
        <v>278</v>
      </c>
      <c r="B58" s="76"/>
      <c r="C58" s="187"/>
      <c r="D58" s="188"/>
      <c r="E58" s="141">
        <f>+E55+E56+E57</f>
        <v>0</v>
      </c>
      <c r="F58" s="182">
        <f>+F55+F56+F57</f>
        <v>0</v>
      </c>
      <c r="G58" s="182">
        <f>+G55+G56+G57</f>
        <v>0</v>
      </c>
      <c r="H58" s="182">
        <f>+H55+H56+H57</f>
        <v>0</v>
      </c>
    </row>
    <row r="59" spans="1:8">
      <c r="A59" s="58" t="s">
        <v>280</v>
      </c>
      <c r="B59" s="76"/>
      <c r="C59" s="126"/>
      <c r="D59" s="188"/>
      <c r="E59" s="141">
        <f>+E53-E56</f>
        <v>0</v>
      </c>
      <c r="F59" s="182">
        <f>+F53-F56</f>
        <v>0</v>
      </c>
      <c r="G59" s="182">
        <f>+G53-G56</f>
        <v>0</v>
      </c>
      <c r="H59" s="182">
        <f>+H53-H56</f>
        <v>0</v>
      </c>
    </row>
    <row r="60" spans="1:8">
      <c r="A60" s="57"/>
      <c r="B60" s="57"/>
      <c r="C60" s="57"/>
      <c r="D60" s="57"/>
      <c r="E60" s="57"/>
      <c r="F60" s="57"/>
      <c r="G60" s="57"/>
      <c r="H60" s="57"/>
    </row>
    <row r="61" spans="1:8">
      <c r="A61" s="57" t="s">
        <v>270</v>
      </c>
      <c r="B61" s="416">
        <v>1</v>
      </c>
      <c r="C61" s="57"/>
      <c r="D61" s="57"/>
      <c r="E61" s="57"/>
      <c r="F61" s="57"/>
      <c r="G61" s="57"/>
      <c r="H61" s="57"/>
    </row>
    <row r="62" spans="1:8">
      <c r="A62" s="57" t="s">
        <v>271</v>
      </c>
      <c r="B62" s="417"/>
      <c r="C62" s="57"/>
      <c r="D62" s="57"/>
      <c r="E62" s="57"/>
      <c r="F62" s="57"/>
      <c r="G62" s="57"/>
      <c r="H62" s="57"/>
    </row>
    <row r="63" spans="1:8">
      <c r="A63" s="57" t="s">
        <v>272</v>
      </c>
      <c r="B63" s="416"/>
      <c r="C63" s="57"/>
      <c r="D63" s="57"/>
      <c r="E63" s="57"/>
      <c r="F63" s="57"/>
      <c r="G63" s="57"/>
      <c r="H63" s="57"/>
    </row>
    <row r="64" spans="1:8">
      <c r="A64" s="57"/>
      <c r="B64" s="363"/>
      <c r="C64" s="57"/>
      <c r="D64" s="57"/>
      <c r="E64" s="57"/>
      <c r="F64" s="57"/>
      <c r="G64" s="57"/>
      <c r="H64" s="57"/>
    </row>
    <row r="65" spans="1:8">
      <c r="A65" s="190">
        <f>+F13</f>
        <v>2027</v>
      </c>
      <c r="B65" s="57"/>
      <c r="C65" s="57"/>
      <c r="D65" s="57"/>
      <c r="E65" s="57"/>
      <c r="F65" s="57"/>
      <c r="G65" s="57"/>
      <c r="H65" s="57"/>
    </row>
    <row r="66" spans="1:8">
      <c r="A66" s="58" t="s">
        <v>273</v>
      </c>
      <c r="B66" s="76"/>
      <c r="C66" s="183">
        <f>+C55</f>
        <v>0</v>
      </c>
      <c r="D66" s="189"/>
      <c r="E66" s="184"/>
      <c r="F66" s="141">
        <f>+F18</f>
        <v>0</v>
      </c>
      <c r="G66" s="141">
        <f>+F72</f>
        <v>0</v>
      </c>
      <c r="H66" s="141">
        <f>+G72</f>
        <v>0</v>
      </c>
    </row>
    <row r="67" spans="1:8">
      <c r="A67" s="58" t="s">
        <v>274</v>
      </c>
      <c r="B67" s="76"/>
      <c r="C67" s="185"/>
      <c r="D67" s="186"/>
      <c r="E67" s="186"/>
      <c r="F67" s="180">
        <f>$B$62</f>
        <v>0</v>
      </c>
      <c r="G67" s="180">
        <f>$B$62</f>
        <v>0</v>
      </c>
      <c r="H67" s="180">
        <f>$B$62</f>
        <v>0</v>
      </c>
    </row>
    <row r="68" spans="1:8">
      <c r="A68" s="58" t="s">
        <v>275</v>
      </c>
      <c r="B68" s="76"/>
      <c r="C68" s="187"/>
      <c r="D68" s="188"/>
      <c r="E68" s="188"/>
      <c r="F68" s="141">
        <f>+F66*F67</f>
        <v>0</v>
      </c>
      <c r="G68" s="182">
        <f>+G66*G67</f>
        <v>0</v>
      </c>
      <c r="H68" s="182">
        <f>+H66*H67</f>
        <v>0</v>
      </c>
    </row>
    <row r="69" spans="1:8">
      <c r="A69" s="58" t="s">
        <v>276</v>
      </c>
      <c r="B69" s="76"/>
      <c r="C69" s="187"/>
      <c r="D69" s="188"/>
      <c r="E69" s="188"/>
      <c r="F69" s="141">
        <f>IF(B63&gt;0,0,F66/B61)</f>
        <v>0</v>
      </c>
      <c r="G69" s="182">
        <f>IF(B63&gt;=2,0,IF(F72&lt;=0,0,$F$66/$B$61))</f>
        <v>0</v>
      </c>
      <c r="H69" s="182">
        <f>IF(B63&gt;=3,0,IF(G72&lt;=0,0,$F$66/$B$61))</f>
        <v>0</v>
      </c>
    </row>
    <row r="70" spans="1:8">
      <c r="A70" s="58" t="s">
        <v>277</v>
      </c>
      <c r="B70" s="76"/>
      <c r="C70" s="187"/>
      <c r="D70" s="188"/>
      <c r="E70" s="188"/>
      <c r="F70" s="141">
        <f>+F68*0.004</f>
        <v>0</v>
      </c>
      <c r="G70" s="182">
        <f>+G68*0.004</f>
        <v>0</v>
      </c>
      <c r="H70" s="182">
        <f>+H68*0.004</f>
        <v>0</v>
      </c>
    </row>
    <row r="71" spans="1:8">
      <c r="A71" s="58" t="s">
        <v>278</v>
      </c>
      <c r="B71" s="76"/>
      <c r="C71" s="187"/>
      <c r="D71" s="188"/>
      <c r="E71" s="188"/>
      <c r="F71" s="141">
        <f>+F68+F69+F70</f>
        <v>0</v>
      </c>
      <c r="G71" s="182">
        <f>+G68+G69+G70</f>
        <v>0</v>
      </c>
      <c r="H71" s="182">
        <f>+H68+H69+H70</f>
        <v>0</v>
      </c>
    </row>
    <row r="72" spans="1:8">
      <c r="A72" s="58" t="s">
        <v>279</v>
      </c>
      <c r="B72" s="76"/>
      <c r="C72" s="126"/>
      <c r="D72" s="188"/>
      <c r="E72" s="188"/>
      <c r="F72" s="141">
        <f>+F66-F69</f>
        <v>0</v>
      </c>
      <c r="G72" s="182">
        <f>+G66-G69</f>
        <v>0</v>
      </c>
      <c r="H72" s="182">
        <f>+H66-H69</f>
        <v>0</v>
      </c>
    </row>
    <row r="73" spans="1:8">
      <c r="A73" s="57"/>
      <c r="B73" s="57"/>
      <c r="C73" s="57"/>
      <c r="D73" s="57"/>
      <c r="E73" s="57"/>
      <c r="F73" s="57"/>
      <c r="G73" s="57"/>
      <c r="H73" s="57"/>
    </row>
    <row r="74" spans="1:8">
      <c r="A74" s="57" t="s">
        <v>270</v>
      </c>
      <c r="B74" s="416">
        <v>1</v>
      </c>
      <c r="C74" s="57"/>
      <c r="D74" s="57"/>
      <c r="E74" s="57"/>
      <c r="F74" s="57"/>
      <c r="G74" s="57"/>
      <c r="H74" s="57"/>
    </row>
    <row r="75" spans="1:8">
      <c r="A75" s="57" t="s">
        <v>271</v>
      </c>
      <c r="B75" s="417"/>
      <c r="C75" s="57"/>
      <c r="D75" s="57"/>
      <c r="E75" s="57"/>
      <c r="F75" s="57"/>
      <c r="G75" s="57"/>
      <c r="H75" s="57"/>
    </row>
    <row r="76" spans="1:8">
      <c r="A76" s="57" t="s">
        <v>272</v>
      </c>
      <c r="B76" s="416"/>
      <c r="C76" s="57"/>
      <c r="D76" s="57"/>
      <c r="E76" s="57"/>
      <c r="F76" s="57"/>
      <c r="G76" s="57"/>
      <c r="H76" s="57"/>
    </row>
    <row r="77" spans="1:8">
      <c r="A77" s="57"/>
      <c r="B77" s="57"/>
      <c r="C77" s="57"/>
      <c r="D77" s="57"/>
      <c r="E77" s="57"/>
      <c r="F77" s="57"/>
      <c r="G77" s="57"/>
      <c r="H77" s="57"/>
    </row>
    <row r="78" spans="1:8">
      <c r="A78" s="190">
        <f>+G13</f>
        <v>2028</v>
      </c>
      <c r="B78" s="57"/>
      <c r="C78" s="57"/>
      <c r="D78" s="57"/>
      <c r="E78" s="57"/>
      <c r="F78" s="57"/>
      <c r="G78" s="57"/>
      <c r="H78" s="57"/>
    </row>
    <row r="79" spans="1:8">
      <c r="A79" s="58" t="s">
        <v>273</v>
      </c>
      <c r="B79" s="76"/>
      <c r="C79" s="183">
        <f>+C68</f>
        <v>0</v>
      </c>
      <c r="D79" s="189"/>
      <c r="E79" s="188"/>
      <c r="F79" s="189"/>
      <c r="G79" s="141">
        <f>+G18</f>
        <v>0</v>
      </c>
      <c r="H79" s="141">
        <f>+G85</f>
        <v>0</v>
      </c>
    </row>
    <row r="80" spans="1:8">
      <c r="A80" s="58" t="s">
        <v>274</v>
      </c>
      <c r="B80" s="76"/>
      <c r="C80" s="185"/>
      <c r="D80" s="186"/>
      <c r="E80" s="186"/>
      <c r="F80" s="186"/>
      <c r="G80" s="180">
        <f>B75</f>
        <v>0</v>
      </c>
      <c r="H80" s="180">
        <f>B75</f>
        <v>0</v>
      </c>
    </row>
    <row r="81" spans="1:8">
      <c r="A81" s="58" t="s">
        <v>275</v>
      </c>
      <c r="B81" s="76"/>
      <c r="C81" s="187"/>
      <c r="D81" s="188"/>
      <c r="E81" s="188"/>
      <c r="F81" s="188"/>
      <c r="G81" s="141">
        <f>+G79*G80</f>
        <v>0</v>
      </c>
      <c r="H81" s="182">
        <f>+H79*H80</f>
        <v>0</v>
      </c>
    </row>
    <row r="82" spans="1:8">
      <c r="A82" s="58" t="s">
        <v>276</v>
      </c>
      <c r="B82" s="76"/>
      <c r="C82" s="187"/>
      <c r="D82" s="188"/>
      <c r="E82" s="188"/>
      <c r="F82" s="188"/>
      <c r="G82" s="141">
        <f>IF(B76&gt;0,0,G79/B74)</f>
        <v>0</v>
      </c>
      <c r="H82" s="182">
        <f>IF(B76&gt;=2,0,IF(G85&lt;=0,0,$G$79/B74))</f>
        <v>0</v>
      </c>
    </row>
    <row r="83" spans="1:8">
      <c r="A83" s="58" t="s">
        <v>277</v>
      </c>
      <c r="B83" s="76"/>
      <c r="C83" s="187"/>
      <c r="D83" s="188"/>
      <c r="E83" s="188"/>
      <c r="F83" s="188"/>
      <c r="G83" s="141">
        <f>+G81*0.004</f>
        <v>0</v>
      </c>
      <c r="H83" s="182">
        <f>+H81*0.004</f>
        <v>0</v>
      </c>
    </row>
    <row r="84" spans="1:8">
      <c r="A84" s="58" t="s">
        <v>278</v>
      </c>
      <c r="B84" s="76"/>
      <c r="C84" s="187"/>
      <c r="D84" s="188"/>
      <c r="E84" s="188"/>
      <c r="F84" s="188"/>
      <c r="G84" s="141">
        <f>+G81+G82+G83</f>
        <v>0</v>
      </c>
      <c r="H84" s="182">
        <f>+H81+H82+H83</f>
        <v>0</v>
      </c>
    </row>
    <row r="85" spans="1:8">
      <c r="A85" s="58" t="s">
        <v>279</v>
      </c>
      <c r="B85" s="76"/>
      <c r="C85" s="126"/>
      <c r="D85" s="188"/>
      <c r="E85" s="188"/>
      <c r="F85" s="188"/>
      <c r="G85" s="141">
        <f>+G79-G82</f>
        <v>0</v>
      </c>
      <c r="H85" s="141">
        <f>+H79-H82</f>
        <v>0</v>
      </c>
    </row>
    <row r="86" spans="1:8">
      <c r="A86" s="57"/>
      <c r="B86" s="57"/>
      <c r="C86" s="57"/>
      <c r="D86" s="57"/>
      <c r="E86" s="57"/>
      <c r="F86" s="57"/>
      <c r="G86" s="57"/>
      <c r="H86" s="57"/>
    </row>
    <row r="87" spans="1:8">
      <c r="A87" s="57" t="s">
        <v>270</v>
      </c>
      <c r="B87" s="416">
        <v>1</v>
      </c>
      <c r="C87" s="57"/>
      <c r="D87" s="57"/>
      <c r="E87" s="57"/>
      <c r="F87" s="57"/>
      <c r="G87" s="57"/>
      <c r="H87" s="57"/>
    </row>
    <row r="88" spans="1:8">
      <c r="A88" s="57" t="s">
        <v>271</v>
      </c>
      <c r="B88" s="417"/>
      <c r="C88" s="57"/>
      <c r="D88" s="57"/>
      <c r="E88" s="57"/>
      <c r="F88" s="57"/>
      <c r="G88" s="57"/>
      <c r="H88" s="57"/>
    </row>
    <row r="89" spans="1:8">
      <c r="A89" s="57" t="s">
        <v>272</v>
      </c>
      <c r="B89" s="416"/>
      <c r="C89" s="57"/>
      <c r="D89" s="57"/>
      <c r="E89" s="57"/>
      <c r="F89" s="57"/>
      <c r="G89" s="57"/>
      <c r="H89" s="57"/>
    </row>
    <row r="90" spans="1:8">
      <c r="A90" s="57"/>
      <c r="B90" s="363"/>
      <c r="C90" s="57"/>
      <c r="D90" s="57"/>
      <c r="E90" s="57"/>
      <c r="F90" s="57"/>
      <c r="G90" s="57"/>
      <c r="H90" s="57"/>
    </row>
    <row r="91" spans="1:8">
      <c r="A91" s="190">
        <f>+H13</f>
        <v>2029</v>
      </c>
      <c r="B91" s="57"/>
      <c r="C91" s="57"/>
      <c r="D91" s="57"/>
      <c r="E91" s="57"/>
      <c r="F91" s="57"/>
      <c r="G91" s="57"/>
      <c r="H91" s="57"/>
    </row>
    <row r="92" spans="1:8">
      <c r="A92" s="58" t="s">
        <v>273</v>
      </c>
      <c r="B92" s="76"/>
      <c r="C92" s="183">
        <f>+C81</f>
        <v>0</v>
      </c>
      <c r="D92" s="189"/>
      <c r="E92" s="189"/>
      <c r="F92" s="189"/>
      <c r="G92" s="189"/>
      <c r="H92" s="141">
        <f>+H18</f>
        <v>0</v>
      </c>
    </row>
    <row r="93" spans="1:8">
      <c r="A93" s="58" t="s">
        <v>274</v>
      </c>
      <c r="B93" s="76"/>
      <c r="C93" s="185"/>
      <c r="D93" s="186"/>
      <c r="E93" s="186"/>
      <c r="F93" s="186"/>
      <c r="G93" s="186"/>
      <c r="H93" s="180">
        <f>B88</f>
        <v>0</v>
      </c>
    </row>
    <row r="94" spans="1:8">
      <c r="A94" s="58" t="s">
        <v>275</v>
      </c>
      <c r="B94" s="76"/>
      <c r="C94" s="187"/>
      <c r="D94" s="188"/>
      <c r="E94" s="188"/>
      <c r="F94" s="188"/>
      <c r="G94" s="188"/>
      <c r="H94" s="141">
        <f>+H92*H93</f>
        <v>0</v>
      </c>
    </row>
    <row r="95" spans="1:8">
      <c r="A95" s="58" t="s">
        <v>276</v>
      </c>
      <c r="B95" s="76"/>
      <c r="C95" s="187"/>
      <c r="D95" s="188"/>
      <c r="E95" s="188"/>
      <c r="F95" s="188"/>
      <c r="G95" s="188"/>
      <c r="H95" s="141">
        <f>IF(B89&gt;0,0,H92/B87)</f>
        <v>0</v>
      </c>
    </row>
    <row r="96" spans="1:8">
      <c r="A96" s="58" t="s">
        <v>277</v>
      </c>
      <c r="B96" s="76"/>
      <c r="C96" s="187"/>
      <c r="D96" s="188"/>
      <c r="E96" s="188"/>
      <c r="F96" s="188"/>
      <c r="G96" s="188"/>
      <c r="H96" s="141">
        <f>0.004*H94</f>
        <v>0</v>
      </c>
    </row>
    <row r="97" spans="1:8">
      <c r="A97" s="58" t="s">
        <v>278</v>
      </c>
      <c r="B97" s="76"/>
      <c r="C97" s="187"/>
      <c r="D97" s="188"/>
      <c r="E97" s="188"/>
      <c r="F97" s="188"/>
      <c r="G97" s="188"/>
      <c r="H97" s="141">
        <f>+H94+H95+H96</f>
        <v>0</v>
      </c>
    </row>
    <row r="98" spans="1:8">
      <c r="A98" s="58" t="s">
        <v>279</v>
      </c>
      <c r="B98" s="76"/>
      <c r="C98" s="126"/>
      <c r="D98" s="188"/>
      <c r="E98" s="188"/>
      <c r="F98" s="188"/>
      <c r="G98" s="188"/>
      <c r="H98" s="141">
        <f>+H92-H95</f>
        <v>0</v>
      </c>
    </row>
    <row r="99" spans="1:8">
      <c r="A99" s="57"/>
      <c r="B99" s="57"/>
      <c r="C99" s="57"/>
      <c r="D99" s="57"/>
      <c r="E99" s="57"/>
      <c r="F99" s="57"/>
      <c r="G99" s="57"/>
      <c r="H99" s="57"/>
    </row>
    <row r="100" spans="1:8">
      <c r="A100" s="57"/>
      <c r="B100" s="57"/>
      <c r="C100" s="57"/>
      <c r="D100" s="150"/>
      <c r="E100" s="57"/>
      <c r="F100" s="57"/>
      <c r="G100" s="57"/>
      <c r="H100" s="57"/>
    </row>
    <row r="101" spans="1:8">
      <c r="A101" s="91" t="s">
        <v>281</v>
      </c>
      <c r="B101" s="94"/>
      <c r="C101" s="108">
        <f t="shared" ref="C101:H101" si="7">+C33+C46+C59+C72+C85+C98</f>
        <v>10000</v>
      </c>
      <c r="D101" s="108">
        <f t="shared" si="7"/>
        <v>10000</v>
      </c>
      <c r="E101" s="108">
        <f t="shared" si="7"/>
        <v>8333.3333333333339</v>
      </c>
      <c r="F101" s="108">
        <f t="shared" si="7"/>
        <v>6666.666666666667</v>
      </c>
      <c r="G101" s="108">
        <f t="shared" si="7"/>
        <v>5000</v>
      </c>
      <c r="H101" s="108">
        <f t="shared" si="7"/>
        <v>3333.333333333333</v>
      </c>
    </row>
    <row r="102" spans="1:8">
      <c r="A102" s="57"/>
      <c r="B102" s="57"/>
      <c r="C102" s="57"/>
      <c r="D102" s="57"/>
      <c r="E102" s="57"/>
      <c r="F102" s="57"/>
      <c r="G102" s="57"/>
      <c r="H102" s="57"/>
    </row>
    <row r="103" spans="1:8">
      <c r="A103" s="91" t="s">
        <v>282</v>
      </c>
      <c r="B103" s="94"/>
      <c r="C103" s="108">
        <f t="shared" ref="C103:H103" si="8">+C29+C42+C55+C68+C81+C94+C31+C44+C57+C70+C83+C96</f>
        <v>104.58333333333334</v>
      </c>
      <c r="D103" s="108">
        <f t="shared" si="8"/>
        <v>251</v>
      </c>
      <c r="E103" s="108">
        <f t="shared" si="8"/>
        <v>251</v>
      </c>
      <c r="F103" s="108">
        <f t="shared" si="8"/>
        <v>209.16666666666671</v>
      </c>
      <c r="G103" s="108">
        <f t="shared" si="8"/>
        <v>167.33333333333334</v>
      </c>
      <c r="H103" s="108">
        <f t="shared" si="8"/>
        <v>125.5</v>
      </c>
    </row>
    <row r="104" spans="1:8">
      <c r="A104" s="91" t="s">
        <v>283</v>
      </c>
      <c r="B104" s="94"/>
      <c r="C104" s="108">
        <f t="shared" ref="C104:H104" si="9">+C30+C43+C56+C69+C82+C95</f>
        <v>0</v>
      </c>
      <c r="D104" s="108">
        <f t="shared" si="9"/>
        <v>0</v>
      </c>
      <c r="E104" s="108">
        <f t="shared" si="9"/>
        <v>1666.6666666666667</v>
      </c>
      <c r="F104" s="108">
        <f t="shared" si="9"/>
        <v>1666.6666666666667</v>
      </c>
      <c r="G104" s="108">
        <f t="shared" si="9"/>
        <v>1666.6666666666667</v>
      </c>
      <c r="H104" s="108">
        <f t="shared" si="9"/>
        <v>1666.6666666666667</v>
      </c>
    </row>
    <row r="106" spans="1:8">
      <c r="E106" s="151"/>
      <c r="F106" s="151"/>
      <c r="G106" s="151"/>
      <c r="H106" s="151"/>
    </row>
  </sheetData>
  <sheetProtection password="8318" sheet="1"/>
  <mergeCells count="2">
    <mergeCell ref="A4:H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DE271-A54D-40A5-81B5-92A17CFA278C}">
  <sheetPr codeName="Sheet12"/>
  <dimension ref="A1:G13"/>
  <sheetViews>
    <sheetView showGridLines="0" showZeros="0" zoomScaleNormal="100" workbookViewId="0">
      <selection activeCell="C26" sqref="C26"/>
    </sheetView>
  </sheetViews>
  <sheetFormatPr defaultColWidth="8.7109375" defaultRowHeight="12.75"/>
  <cols>
    <col min="1" max="1" width="53.7109375" style="67" customWidth="1"/>
    <col min="2" max="6" width="11.42578125" style="67" customWidth="1"/>
    <col min="7" max="7" width="11.85546875" style="67" customWidth="1"/>
    <col min="8" max="16384" width="8.7109375" style="67"/>
  </cols>
  <sheetData>
    <row r="1" spans="1:7" ht="13.5">
      <c r="A1" s="57"/>
      <c r="B1" s="57"/>
      <c r="C1" s="87"/>
      <c r="D1" s="47"/>
      <c r="E1" s="47"/>
      <c r="F1" s="89" t="s">
        <v>26</v>
      </c>
      <c r="G1" s="89" t="str">
        <f>+Pressupostos!E1</f>
        <v>WAITR</v>
      </c>
    </row>
    <row r="2" spans="1:7">
      <c r="A2" s="57"/>
      <c r="B2" s="57"/>
      <c r="C2" s="57"/>
      <c r="D2" s="57"/>
      <c r="E2" s="57"/>
      <c r="F2" s="57"/>
      <c r="G2" s="52" t="str">
        <f>+Pressupostos!B9</f>
        <v>Euros</v>
      </c>
    </row>
    <row r="3" spans="1:7">
      <c r="A3" s="57"/>
      <c r="B3" s="57"/>
      <c r="C3" s="57"/>
      <c r="D3" s="57"/>
      <c r="E3" s="57"/>
      <c r="F3" s="57"/>
      <c r="G3" s="52"/>
    </row>
    <row r="4" spans="1:7" ht="15.75">
      <c r="A4" s="457" t="s">
        <v>284</v>
      </c>
      <c r="B4" s="457"/>
      <c r="C4" s="457"/>
      <c r="D4" s="457"/>
      <c r="E4" s="457"/>
      <c r="F4" s="457"/>
      <c r="G4" s="457"/>
    </row>
    <row r="5" spans="1:7">
      <c r="A5" s="57"/>
      <c r="B5" s="57"/>
      <c r="C5" s="57"/>
      <c r="D5" s="57"/>
      <c r="E5" s="57"/>
      <c r="F5" s="57"/>
      <c r="G5" s="57"/>
    </row>
    <row r="6" spans="1:7">
      <c r="A6" s="57"/>
      <c r="B6" s="191"/>
      <c r="C6" s="57"/>
      <c r="D6" s="57"/>
      <c r="E6" s="57"/>
      <c r="F6" s="57"/>
      <c r="G6" s="57"/>
    </row>
    <row r="7" spans="1:7">
      <c r="A7" s="102"/>
      <c r="B7" s="54">
        <f>+VN!C8</f>
        <v>2024</v>
      </c>
      <c r="C7" s="54">
        <f>+VN!D8</f>
        <v>2025</v>
      </c>
      <c r="D7" s="54">
        <f>+VN!E8</f>
        <v>2026</v>
      </c>
      <c r="E7" s="54">
        <f>+VN!F8</f>
        <v>2027</v>
      </c>
      <c r="F7" s="54">
        <f>+VN!G8</f>
        <v>2028</v>
      </c>
      <c r="G7" s="54">
        <f>+VN!H8</f>
        <v>2029</v>
      </c>
    </row>
    <row r="8" spans="1:7">
      <c r="A8" s="119" t="str">
        <f>DR!A8</f>
        <v>Vendas e serviços prestados</v>
      </c>
      <c r="B8" s="350">
        <f>DR!B8</f>
        <v>25200</v>
      </c>
      <c r="C8" s="350">
        <f>DR!C8</f>
        <v>77300</v>
      </c>
      <c r="D8" s="350">
        <f>DR!D8</f>
        <v>154038.29999999999</v>
      </c>
      <c r="E8" s="350">
        <f>DR!E8</f>
        <v>313744.179</v>
      </c>
      <c r="F8" s="350">
        <f>DR!F8</f>
        <v>646543.67415000009</v>
      </c>
      <c r="G8" s="350">
        <f>DR!G8</f>
        <v>1142912.7399819</v>
      </c>
    </row>
    <row r="9" spans="1:7">
      <c r="A9" s="102" t="str">
        <f>DR!A11</f>
        <v>Variação nos inventários da produção</v>
      </c>
      <c r="B9" s="350">
        <f>DR!B11</f>
        <v>0</v>
      </c>
      <c r="C9" s="350">
        <f>DR!C11</f>
        <v>0</v>
      </c>
      <c r="D9" s="350">
        <f>DR!D11</f>
        <v>0</v>
      </c>
      <c r="E9" s="350">
        <f>DR!E11</f>
        <v>0</v>
      </c>
      <c r="F9" s="350">
        <f>DR!F11</f>
        <v>0</v>
      </c>
      <c r="G9" s="350">
        <f>DR!G11</f>
        <v>0</v>
      </c>
    </row>
    <row r="10" spans="1:7">
      <c r="A10" s="102" t="s">
        <v>107</v>
      </c>
      <c r="B10" s="350">
        <f>DR!B13</f>
        <v>21250</v>
      </c>
      <c r="C10" s="350">
        <f>DR!C13</f>
        <v>65025</v>
      </c>
      <c r="D10" s="350">
        <f>DR!D13</f>
        <v>128892.55499999999</v>
      </c>
      <c r="E10" s="350">
        <f>DR!E13</f>
        <v>262602.55215</v>
      </c>
      <c r="F10" s="350">
        <f>DR!F13</f>
        <v>541402.1230275</v>
      </c>
      <c r="G10" s="350">
        <f>DR!G13</f>
        <v>955155.82898461493</v>
      </c>
    </row>
    <row r="11" spans="1:7">
      <c r="A11" s="102" t="s">
        <v>285</v>
      </c>
      <c r="B11" s="350">
        <f>FSE!F47</f>
        <v>104.16666666666666</v>
      </c>
      <c r="C11" s="350">
        <f>FSE!G47</f>
        <v>257.5</v>
      </c>
      <c r="D11" s="350">
        <f>FSE!H47</f>
        <v>265.22500000000002</v>
      </c>
      <c r="E11" s="350">
        <f>FSE!I47</f>
        <v>273.18175000000002</v>
      </c>
      <c r="F11" s="350">
        <f>FSE!J47</f>
        <v>281.37720250000001</v>
      </c>
      <c r="G11" s="350">
        <f>FSE!K47</f>
        <v>289.81851857500004</v>
      </c>
    </row>
    <row r="12" spans="1:7">
      <c r="A12" s="348" t="s">
        <v>286</v>
      </c>
      <c r="B12" s="351">
        <f t="shared" ref="B12:G12" si="0">B8+B9-B10-B11</f>
        <v>3845.8333333333335</v>
      </c>
      <c r="C12" s="351">
        <f t="shared" si="0"/>
        <v>12017.5</v>
      </c>
      <c r="D12" s="351">
        <f t="shared" si="0"/>
        <v>24880.519999999997</v>
      </c>
      <c r="E12" s="351">
        <f t="shared" si="0"/>
        <v>50868.445099999997</v>
      </c>
      <c r="F12" s="351">
        <f t="shared" si="0"/>
        <v>104860.17392000009</v>
      </c>
      <c r="G12" s="351">
        <f t="shared" si="0"/>
        <v>187467.09247871005</v>
      </c>
    </row>
    <row r="13" spans="1:7">
      <c r="A13" s="349" t="s">
        <v>287</v>
      </c>
      <c r="B13" s="352">
        <f>(FSE!F45+DR!B15+DR!B24+DR!B25+DR!B18)/(B12/'Ponto Crítico'!B8)</f>
        <v>60788.879739978329</v>
      </c>
      <c r="C13" s="352">
        <f>(FSE!G45+DR!C15+DR!C24+DR!C25+DR!C18)/(C12/'Ponto Crítico'!C8)</f>
        <v>290384.276263782</v>
      </c>
      <c r="D13" s="352">
        <f>(FSE!H45+DR!D15+DR!D24+DR!D25+DR!D18)/(D12/'Ponto Crítico'!D8)</f>
        <v>296168.22097270068</v>
      </c>
      <c r="E13" s="352">
        <f>(FSE!I45+DR!E15+DR!E24+DR!E25+DR!E18)/(E12/'Ponto Crítico'!E8)</f>
        <v>297003.3082447974</v>
      </c>
      <c r="F13" s="352">
        <f>(FSE!J45+DR!F15+DR!F24+DR!F25+DR!F18)/(F12/'Ponto Crítico'!F8)</f>
        <v>286417.54049813916</v>
      </c>
      <c r="G13" s="352">
        <f>(FSE!K45+DR!G15+DR!G24+DR!G25+DR!G18)/(G12/'Ponto Crítico'!G8)</f>
        <v>272117.63553579291</v>
      </c>
    </row>
  </sheetData>
  <sheetProtection password="8318" sheet="1" objects="1" scenarios="1"/>
  <mergeCells count="1">
    <mergeCell ref="A4:G4"/>
  </mergeCells>
  <phoneticPr fontId="18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3681-923A-45CF-8C7F-C422686F9C39}">
  <sheetPr codeName="Sheet8"/>
  <dimension ref="A1:G33"/>
  <sheetViews>
    <sheetView showGridLines="0" showZeros="0" topLeftCell="A6" zoomScaleNormal="100" workbookViewId="0">
      <selection activeCell="B27" sqref="B27"/>
    </sheetView>
  </sheetViews>
  <sheetFormatPr defaultColWidth="8.7109375" defaultRowHeight="12.75"/>
  <cols>
    <col min="1" max="1" width="53.7109375" style="67" customWidth="1"/>
    <col min="2" max="6" width="11.42578125" style="67" customWidth="1"/>
    <col min="7" max="7" width="11.85546875" style="67" customWidth="1"/>
    <col min="8" max="16384" width="8.7109375" style="67"/>
  </cols>
  <sheetData>
    <row r="1" spans="1:7" ht="13.5">
      <c r="A1" s="57"/>
      <c r="B1" s="57"/>
      <c r="C1" s="87"/>
      <c r="D1" s="47"/>
      <c r="E1" s="47"/>
      <c r="F1" s="89" t="s">
        <v>26</v>
      </c>
      <c r="G1" s="89" t="str">
        <f>+Pressupostos!E1</f>
        <v>WAITR</v>
      </c>
    </row>
    <row r="2" spans="1:7">
      <c r="A2" s="57"/>
      <c r="B2" s="57"/>
      <c r="C2" s="57"/>
      <c r="D2" s="57"/>
      <c r="E2" s="57"/>
      <c r="F2" s="57"/>
      <c r="G2" s="52" t="str">
        <f>+Pressupostos!B9</f>
        <v>Euros</v>
      </c>
    </row>
    <row r="3" spans="1:7">
      <c r="A3" s="57"/>
      <c r="B3" s="57"/>
      <c r="C3" s="57"/>
      <c r="D3" s="57"/>
      <c r="E3" s="57"/>
      <c r="F3" s="57"/>
      <c r="G3" s="52"/>
    </row>
    <row r="4" spans="1:7" ht="15.75">
      <c r="A4" s="457" t="s">
        <v>288</v>
      </c>
      <c r="B4" s="457"/>
      <c r="C4" s="457"/>
      <c r="D4" s="457"/>
      <c r="E4" s="457"/>
      <c r="F4" s="457"/>
      <c r="G4" s="457"/>
    </row>
    <row r="5" spans="1:7">
      <c r="A5" s="57"/>
      <c r="B5" s="57"/>
      <c r="C5" s="57"/>
      <c r="D5" s="57"/>
      <c r="E5" s="57"/>
      <c r="F5" s="57"/>
      <c r="G5" s="57"/>
    </row>
    <row r="6" spans="1:7">
      <c r="A6" s="57"/>
      <c r="B6" s="191"/>
      <c r="C6" s="57"/>
      <c r="D6" s="57"/>
      <c r="E6" s="57"/>
      <c r="F6" s="57"/>
      <c r="G6" s="57"/>
    </row>
    <row r="7" spans="1:7">
      <c r="A7" s="102"/>
      <c r="B7" s="54">
        <f>+VN!C8</f>
        <v>2024</v>
      </c>
      <c r="C7" s="54">
        <f>+VN!D8</f>
        <v>2025</v>
      </c>
      <c r="D7" s="54">
        <f>+VN!E8</f>
        <v>2026</v>
      </c>
      <c r="E7" s="54">
        <f>+VN!F8</f>
        <v>2027</v>
      </c>
      <c r="F7" s="54">
        <f>+VN!G8</f>
        <v>2028</v>
      </c>
      <c r="G7" s="54">
        <f>+VN!H8</f>
        <v>2029</v>
      </c>
    </row>
    <row r="8" spans="1:7">
      <c r="A8" s="102" t="s">
        <v>289</v>
      </c>
      <c r="B8" s="122">
        <f>+VN!C80</f>
        <v>25200</v>
      </c>
      <c r="C8" s="122">
        <f>+VN!D80</f>
        <v>77300</v>
      </c>
      <c r="D8" s="122">
        <f>+VN!E80</f>
        <v>154038.29999999999</v>
      </c>
      <c r="E8" s="122">
        <f>+VN!F80</f>
        <v>313744.179</v>
      </c>
      <c r="F8" s="122">
        <f>+VN!G80</f>
        <v>646543.67415000009</v>
      </c>
      <c r="G8" s="122">
        <f>+VN!H80</f>
        <v>1142912.7399819</v>
      </c>
    </row>
    <row r="9" spans="1:7">
      <c r="A9" s="102" t="s">
        <v>290</v>
      </c>
      <c r="B9" s="3"/>
      <c r="C9" s="3"/>
      <c r="D9" s="3"/>
      <c r="E9" s="3"/>
      <c r="F9" s="3"/>
      <c r="G9" s="3"/>
    </row>
    <row r="10" spans="1:7">
      <c r="A10" s="110" t="s">
        <v>291</v>
      </c>
      <c r="B10" s="3"/>
      <c r="C10" s="3"/>
      <c r="D10" s="3"/>
      <c r="E10" s="3"/>
      <c r="F10" s="3"/>
      <c r="G10" s="3"/>
    </row>
    <row r="11" spans="1:7">
      <c r="A11" s="102" t="s">
        <v>292</v>
      </c>
      <c r="B11" s="3"/>
      <c r="C11" s="3"/>
      <c r="D11" s="3"/>
      <c r="E11" s="3"/>
      <c r="F11" s="3"/>
      <c r="G11" s="3"/>
    </row>
    <row r="12" spans="1:7">
      <c r="A12" s="102" t="s">
        <v>293</v>
      </c>
      <c r="B12" s="3"/>
      <c r="C12" s="3"/>
      <c r="D12" s="3"/>
      <c r="E12" s="3"/>
      <c r="F12" s="3"/>
      <c r="G12" s="3"/>
    </row>
    <row r="13" spans="1:7">
      <c r="A13" s="102" t="s">
        <v>107</v>
      </c>
      <c r="B13" s="122">
        <f>+CMVMC!C16</f>
        <v>21250</v>
      </c>
      <c r="C13" s="122">
        <f>+CMVMC!D16</f>
        <v>65025</v>
      </c>
      <c r="D13" s="122">
        <f>+CMVMC!E16</f>
        <v>128892.55499999999</v>
      </c>
      <c r="E13" s="122">
        <f>+CMVMC!F16</f>
        <v>262602.55215</v>
      </c>
      <c r="F13" s="122">
        <f>+CMVMC!G16</f>
        <v>541402.1230275</v>
      </c>
      <c r="G13" s="122">
        <f>+CMVMC!H16</f>
        <v>955155.82898461493</v>
      </c>
    </row>
    <row r="14" spans="1:7">
      <c r="A14" s="102" t="s">
        <v>294</v>
      </c>
      <c r="B14" s="122">
        <f>+FSE!F43</f>
        <v>2329.1666666666665</v>
      </c>
      <c r="C14" s="122">
        <f>+FSE!G43</f>
        <v>5757.7000000000007</v>
      </c>
      <c r="D14" s="122">
        <f>+FSE!H43</f>
        <v>5930.4309999999996</v>
      </c>
      <c r="E14" s="122">
        <f>+FSE!I43</f>
        <v>6108.3439300000009</v>
      </c>
      <c r="F14" s="122">
        <f>+FSE!J43</f>
        <v>6291.5942479000014</v>
      </c>
      <c r="G14" s="122">
        <f>+FSE!K43</f>
        <v>6480.3420753370001</v>
      </c>
    </row>
    <row r="15" spans="1:7">
      <c r="A15" s="102" t="s">
        <v>295</v>
      </c>
      <c r="B15" s="122">
        <f>+'Gastos com Pessoal'!D94</f>
        <v>5329.916666666667</v>
      </c>
      <c r="C15" s="122">
        <f>+'Gastos com Pessoal'!E94</f>
        <v>35411.300000000003</v>
      </c>
      <c r="D15" s="122">
        <f>+'Gastos com Pessoal'!F94</f>
        <v>35764.092999999993</v>
      </c>
      <c r="E15" s="122">
        <f>+'Gastos com Pessoal'!G94</f>
        <v>36120.378999999994</v>
      </c>
      <c r="F15" s="122">
        <f>+'Gastos com Pessoal'!H94</f>
        <v>36480.157999999996</v>
      </c>
      <c r="G15" s="122">
        <f>+'Gastos com Pessoal'!I94</f>
        <v>36843.779300000002</v>
      </c>
    </row>
    <row r="16" spans="1:7">
      <c r="A16" s="102" t="s">
        <v>296</v>
      </c>
      <c r="B16" s="3"/>
      <c r="C16" s="3"/>
      <c r="D16" s="3"/>
      <c r="E16" s="3"/>
      <c r="F16" s="3"/>
      <c r="G16" s="3"/>
    </row>
    <row r="17" spans="1:7">
      <c r="A17" s="102" t="s">
        <v>297</v>
      </c>
      <c r="B17" s="122">
        <f>+VN!C87</f>
        <v>309.95999999999998</v>
      </c>
      <c r="C17" s="122">
        <f>+VN!D87</f>
        <v>950.79</v>
      </c>
      <c r="D17" s="122">
        <f>+VN!E87</f>
        <v>1770.2392499999999</v>
      </c>
      <c r="E17" s="122">
        <f>+VN!F87</f>
        <v>3478.2919713000001</v>
      </c>
      <c r="F17" s="122">
        <f>+VN!G87</f>
        <v>6929.2640711970016</v>
      </c>
      <c r="G17" s="122">
        <f>+VN!H87</f>
        <v>12115.196528546971</v>
      </c>
    </row>
    <row r="18" spans="1:7">
      <c r="A18" s="102" t="s">
        <v>298</v>
      </c>
      <c r="B18" s="3"/>
      <c r="C18" s="3"/>
      <c r="D18" s="3"/>
      <c r="E18" s="3"/>
      <c r="F18" s="3"/>
      <c r="G18" s="3"/>
    </row>
    <row r="19" spans="1:7">
      <c r="A19" s="102" t="s">
        <v>299</v>
      </c>
      <c r="B19" s="3"/>
      <c r="C19" s="3"/>
      <c r="D19" s="3"/>
      <c r="E19" s="3"/>
      <c r="F19" s="3"/>
      <c r="G19" s="3"/>
    </row>
    <row r="20" spans="1:7">
      <c r="A20" s="102" t="s">
        <v>300</v>
      </c>
      <c r="B20" s="3"/>
      <c r="C20" s="3"/>
      <c r="D20" s="3"/>
      <c r="E20" s="3"/>
      <c r="F20" s="3"/>
      <c r="G20" s="3"/>
    </row>
    <row r="21" spans="1:7">
      <c r="A21" s="102" t="s">
        <v>301</v>
      </c>
      <c r="B21" s="3"/>
      <c r="C21" s="3"/>
      <c r="D21" s="3"/>
      <c r="E21" s="3"/>
      <c r="F21" s="3"/>
      <c r="G21" s="3"/>
    </row>
    <row r="22" spans="1:7">
      <c r="A22" s="102" t="s">
        <v>302</v>
      </c>
      <c r="B22" s="3"/>
      <c r="C22" s="3"/>
      <c r="D22" s="3"/>
      <c r="E22" s="3"/>
      <c r="F22" s="3"/>
      <c r="G22" s="3"/>
    </row>
    <row r="23" spans="1:7" ht="13.5" thickBot="1">
      <c r="A23" s="192" t="s">
        <v>303</v>
      </c>
      <c r="B23" s="34">
        <f t="shared" ref="B23:G23" si="0">+B8+B9+B10+B11+B12-B13-B14-B15-B16-B17-B18-B19-B20+B21-B22</f>
        <v>-4019.0433333333335</v>
      </c>
      <c r="C23" s="34">
        <f t="shared" si="0"/>
        <v>-29844.790000000005</v>
      </c>
      <c r="D23" s="34">
        <f t="shared" si="0"/>
        <v>-18319.018249999997</v>
      </c>
      <c r="E23" s="34">
        <f t="shared" si="0"/>
        <v>5434.6119487000042</v>
      </c>
      <c r="F23" s="34">
        <f t="shared" si="0"/>
        <v>55440.53480340309</v>
      </c>
      <c r="G23" s="34">
        <f t="shared" si="0"/>
        <v>132317.59309340108</v>
      </c>
    </row>
    <row r="24" spans="1:7" ht="13.5" thickTop="1">
      <c r="A24" s="102" t="s">
        <v>304</v>
      </c>
      <c r="B24" s="122">
        <f>+Investimento!C168</f>
        <v>1722.2222222222222</v>
      </c>
      <c r="C24" s="122">
        <f>+Investimento!D168</f>
        <v>4233.3</v>
      </c>
      <c r="D24" s="122">
        <f>+Investimento!E168</f>
        <v>6408.2800000000007</v>
      </c>
      <c r="E24" s="122">
        <f>+Investimento!F168</f>
        <v>6198.6477777777782</v>
      </c>
      <c r="F24" s="122">
        <f>+Investimento!G168</f>
        <v>3962.4700000000003</v>
      </c>
      <c r="G24" s="122">
        <f>+Investimento!H168</f>
        <v>1599.99</v>
      </c>
    </row>
    <row r="25" spans="1:7">
      <c r="A25" s="102" t="s">
        <v>305</v>
      </c>
      <c r="B25" s="3"/>
      <c r="C25" s="3"/>
      <c r="D25" s="3"/>
      <c r="E25" s="3"/>
      <c r="F25" s="3"/>
      <c r="G25" s="3"/>
    </row>
    <row r="26" spans="1:7" ht="13.5" thickBot="1">
      <c r="A26" s="192" t="s">
        <v>306</v>
      </c>
      <c r="B26" s="34">
        <f t="shared" ref="B26:G26" si="1">+B23-B24-B25</f>
        <v>-5741.2655555555557</v>
      </c>
      <c r="C26" s="34">
        <f t="shared" si="1"/>
        <v>-34078.090000000004</v>
      </c>
      <c r="D26" s="34">
        <f t="shared" si="1"/>
        <v>-24727.29825</v>
      </c>
      <c r="E26" s="34">
        <f t="shared" si="1"/>
        <v>-764.035829077774</v>
      </c>
      <c r="F26" s="34">
        <f t="shared" si="1"/>
        <v>51478.064803403089</v>
      </c>
      <c r="G26" s="34">
        <f t="shared" si="1"/>
        <v>130717.60309340108</v>
      </c>
    </row>
    <row r="27" spans="1:7" ht="13.5" thickTop="1">
      <c r="A27" s="102" t="s">
        <v>307</v>
      </c>
      <c r="B27" s="122">
        <f>+IF(PlanoFinanceiro!C29&gt;0,PlanoFinanceiro!C29*Pressupostos!$B$30,0)</f>
        <v>0</v>
      </c>
      <c r="C27" s="122">
        <f>+IF(PlanoFinanceiro!D29&gt;0,PlanoFinanceiro!D29*Pressupostos!$B$30,0)</f>
        <v>0</v>
      </c>
      <c r="D27" s="122">
        <f>+IF(PlanoFinanceiro!E29&gt;0,PlanoFinanceiro!E29*Pressupostos!$B$30,0)</f>
        <v>0</v>
      </c>
      <c r="E27" s="122">
        <f>+IF(PlanoFinanceiro!F29&gt;0,PlanoFinanceiro!F29*Pressupostos!$B$30,0)</f>
        <v>0</v>
      </c>
      <c r="F27" s="122">
        <f>+IF(PlanoFinanceiro!G29&gt;0,PlanoFinanceiro!G29*Pressupostos!$B$30,0)</f>
        <v>0</v>
      </c>
      <c r="G27" s="122">
        <f>+IF(PlanoFinanceiro!H29&gt;0,PlanoFinanceiro!H29*Pressupostos!$B$30,0)</f>
        <v>0</v>
      </c>
    </row>
    <row r="28" spans="1:7">
      <c r="A28" s="102" t="s">
        <v>308</v>
      </c>
      <c r="B28" s="122">
        <f>Financiamento!C103+IF(PlanoFinanceiro!C29&lt;0,-PlanoFinanceiro!C29*Pressupostos!$B$31,0)</f>
        <v>104.58333333333334</v>
      </c>
      <c r="C28" s="122">
        <f>Financiamento!D103+IF(PlanoFinanceiro!D29&lt;0,-PlanoFinanceiro!D29*Pressupostos!$B$31,0)</f>
        <v>251</v>
      </c>
      <c r="D28" s="122">
        <f>Financiamento!E103+IF(PlanoFinanceiro!E29&lt;0,-PlanoFinanceiro!E29*Pressupostos!$B$31,0)</f>
        <v>251</v>
      </c>
      <c r="E28" s="122">
        <f>Financiamento!F103+IF(PlanoFinanceiro!F29&lt;0,-PlanoFinanceiro!F29*Pressupostos!$B$31,0)</f>
        <v>209.16666666666671</v>
      </c>
      <c r="F28" s="122">
        <f>Financiamento!G103+IF(PlanoFinanceiro!G29&lt;0,-PlanoFinanceiro!G29*Pressupostos!$B$31,0)</f>
        <v>167.33333333333334</v>
      </c>
      <c r="G28" s="122">
        <f>Financiamento!H103+IF(PlanoFinanceiro!H29&lt;0,-PlanoFinanceiro!H29*Pressupostos!$B$31,0)</f>
        <v>125.5</v>
      </c>
    </row>
    <row r="29" spans="1:7" ht="13.5" thickBot="1">
      <c r="A29" s="192" t="s">
        <v>309</v>
      </c>
      <c r="B29" s="34">
        <f t="shared" ref="B29:G29" si="2">+B26+B27-B28</f>
        <v>-5845.8488888888887</v>
      </c>
      <c r="C29" s="34">
        <f t="shared" si="2"/>
        <v>-34329.090000000004</v>
      </c>
      <c r="D29" s="34">
        <f t="shared" si="2"/>
        <v>-24978.29825</v>
      </c>
      <c r="E29" s="34">
        <f t="shared" si="2"/>
        <v>-973.20249574444074</v>
      </c>
      <c r="F29" s="34">
        <f t="shared" si="2"/>
        <v>51310.731470069753</v>
      </c>
      <c r="G29" s="34">
        <f t="shared" si="2"/>
        <v>130592.10309340108</v>
      </c>
    </row>
    <row r="30" spans="1:7" ht="13.5" thickTop="1">
      <c r="A30" s="102" t="s">
        <v>310</v>
      </c>
      <c r="B30" s="122">
        <f>IF(B29&gt;0,B29*Pressupostos!$B$28,0)</f>
        <v>0</v>
      </c>
      <c r="C30" s="122">
        <f>IF(C29+C32&lt;0,0,(C29+C32)*Pressupostos!$B$28)</f>
        <v>0</v>
      </c>
      <c r="D30" s="122">
        <f>IF(D29+D32&lt;0,0,(D29+D32)*Pressupostos!$B$28)</f>
        <v>0</v>
      </c>
      <c r="E30" s="122">
        <f>IF(E29+E32&lt;0,0,(E29+E32)*Pressupostos!$B$28)</f>
        <v>0</v>
      </c>
      <c r="F30" s="122">
        <f>IF(F29+F32&lt;0,0,(F29+F32)*Pressupostos!$B$28)</f>
        <v>0</v>
      </c>
      <c r="G30" s="122">
        <f>IF(G29+G32&lt;0,0,(G29+G32)*Pressupostos!$B$28)</f>
        <v>28944.098732209372</v>
      </c>
    </row>
    <row r="31" spans="1:7" ht="13.5" thickBot="1">
      <c r="A31" s="192" t="s">
        <v>311</v>
      </c>
      <c r="B31" s="34">
        <f t="shared" ref="B31:G31" si="3">+B29-B30</f>
        <v>-5845.8488888888887</v>
      </c>
      <c r="C31" s="34">
        <f t="shared" si="3"/>
        <v>-34329.090000000004</v>
      </c>
      <c r="D31" s="34">
        <f t="shared" si="3"/>
        <v>-24978.29825</v>
      </c>
      <c r="E31" s="34">
        <f t="shared" si="3"/>
        <v>-973.20249574444074</v>
      </c>
      <c r="F31" s="34">
        <f t="shared" si="3"/>
        <v>51310.731470069753</v>
      </c>
      <c r="G31" s="34">
        <f t="shared" si="3"/>
        <v>101648.00436119171</v>
      </c>
    </row>
    <row r="32" spans="1:7" ht="13.5" thickTop="1">
      <c r="A32" s="132"/>
      <c r="B32" s="193"/>
      <c r="C32" s="193">
        <f>IF(B31&lt;0,B31,0)</f>
        <v>-5845.8488888888887</v>
      </c>
      <c r="D32" s="193">
        <f>IF(C31+C32&lt;0,C31+C32,0)</f>
        <v>-40174.938888888893</v>
      </c>
      <c r="E32" s="193">
        <f>IF(D31+D32&lt;0,D31+D32,0)</f>
        <v>-65153.237138888893</v>
      </c>
      <c r="F32" s="193">
        <f>IF(E31+E32&lt;0,E31+E32,0)</f>
        <v>-66126.439634633338</v>
      </c>
      <c r="G32" s="193">
        <f>IF(F31+F32&lt;0,F31+F32,0)</f>
        <v>-14815.708164563584</v>
      </c>
    </row>
    <row r="33" spans="2:7">
      <c r="B33" s="134"/>
      <c r="C33" s="134"/>
      <c r="D33" s="134"/>
      <c r="E33" s="134"/>
      <c r="F33" s="134"/>
      <c r="G33" s="134"/>
    </row>
  </sheetData>
  <sheetProtection password="8318" sheet="1"/>
  <mergeCells count="1">
    <mergeCell ref="A4:G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068D5-E6EC-4229-9CA1-FA2EECF97999}">
  <sheetPr codeName="Folha4"/>
  <dimension ref="A1:I38"/>
  <sheetViews>
    <sheetView showGridLines="0" showZeros="0" topLeftCell="A2" workbookViewId="0">
      <selection activeCell="F28" sqref="F28"/>
    </sheetView>
  </sheetViews>
  <sheetFormatPr defaultColWidth="8.7109375" defaultRowHeight="10.5"/>
  <cols>
    <col min="1" max="1" width="30.85546875" style="195" customWidth="1"/>
    <col min="2" max="2" width="7.5703125" style="195" customWidth="1"/>
    <col min="3" max="13" width="11.42578125" style="195" customWidth="1"/>
    <col min="14" max="16384" width="8.7109375" style="195"/>
  </cols>
  <sheetData>
    <row r="1" spans="1:8" ht="13.5">
      <c r="A1" s="194"/>
      <c r="B1" s="194"/>
      <c r="C1" s="47"/>
      <c r="D1" s="47"/>
      <c r="E1" s="47"/>
      <c r="F1" s="47"/>
      <c r="G1" s="48" t="s">
        <v>26</v>
      </c>
      <c r="H1" s="89" t="str">
        <f>+Pressupostos!E1</f>
        <v>WAITR</v>
      </c>
    </row>
    <row r="2" spans="1:8" ht="12.75">
      <c r="A2" s="57"/>
      <c r="B2" s="57"/>
      <c r="C2" s="57"/>
      <c r="D2" s="57"/>
      <c r="E2" s="57"/>
      <c r="F2" s="57"/>
      <c r="G2" s="57"/>
      <c r="H2" s="52" t="str">
        <f>+Pressupostos!B9</f>
        <v>Euros</v>
      </c>
    </row>
    <row r="3" spans="1:8" ht="12.75">
      <c r="A3" s="57"/>
      <c r="B3" s="57"/>
      <c r="C3" s="57"/>
      <c r="D3" s="57"/>
      <c r="E3" s="57"/>
      <c r="F3" s="57"/>
      <c r="G3" s="57"/>
      <c r="H3" s="52"/>
    </row>
    <row r="4" spans="1:8" ht="13.5" customHeight="1">
      <c r="A4" s="457" t="s">
        <v>312</v>
      </c>
      <c r="B4" s="457"/>
      <c r="C4" s="457"/>
      <c r="D4" s="457"/>
      <c r="E4" s="457"/>
      <c r="F4" s="457"/>
      <c r="G4" s="457"/>
      <c r="H4" s="457"/>
    </row>
    <row r="5" spans="1:8" ht="12.75" customHeight="1">
      <c r="A5" s="57"/>
      <c r="B5" s="57"/>
      <c r="C5" s="57"/>
      <c r="D5" s="57"/>
      <c r="E5" s="57"/>
      <c r="F5" s="57"/>
      <c r="G5" s="57"/>
      <c r="H5" s="57"/>
    </row>
    <row r="6" spans="1:8" ht="12.75">
      <c r="A6" s="57"/>
      <c r="B6" s="112"/>
      <c r="C6" s="57"/>
      <c r="D6" s="57"/>
      <c r="E6" s="57"/>
      <c r="F6" s="57"/>
      <c r="G6" s="57"/>
      <c r="H6" s="57"/>
    </row>
    <row r="7" spans="1:8" ht="12.75">
      <c r="A7" s="102"/>
      <c r="B7" s="124"/>
      <c r="C7" s="54">
        <f>+VN!C8</f>
        <v>2024</v>
      </c>
      <c r="D7" s="54">
        <f>+VN!D8</f>
        <v>2025</v>
      </c>
      <c r="E7" s="54">
        <f>+VN!E8</f>
        <v>2026</v>
      </c>
      <c r="F7" s="54">
        <f>+VN!F8</f>
        <v>2027</v>
      </c>
      <c r="G7" s="54">
        <f>+VN!G8</f>
        <v>2028</v>
      </c>
      <c r="H7" s="54">
        <f>+VN!H8</f>
        <v>2029</v>
      </c>
    </row>
    <row r="8" spans="1:8" ht="12.75">
      <c r="A8" s="68" t="s">
        <v>313</v>
      </c>
      <c r="B8" s="124"/>
      <c r="C8" s="54"/>
      <c r="D8" s="54"/>
      <c r="E8" s="54"/>
      <c r="F8" s="54"/>
      <c r="G8" s="54"/>
      <c r="H8" s="54"/>
    </row>
    <row r="9" spans="1:8" ht="12.75">
      <c r="A9" s="196" t="s">
        <v>314</v>
      </c>
      <c r="B9" s="197"/>
      <c r="C9" s="108">
        <f>+DR!B26*(1-Pressupostos!$B$28)</f>
        <v>-4305.9491666666672</v>
      </c>
      <c r="D9" s="108">
        <f>+DR!C26*(1-Pressupostos!$B$28)</f>
        <v>-25558.567500000005</v>
      </c>
      <c r="E9" s="108">
        <f>+DR!D26*(1-Pressupostos!$B$28)</f>
        <v>-18545.473687500002</v>
      </c>
      <c r="F9" s="108">
        <f>+DR!E26*(1-Pressupostos!$B$28)</f>
        <v>-573.0268718083305</v>
      </c>
      <c r="G9" s="108">
        <f>+DR!F26*(1-Pressupostos!$B$28)</f>
        <v>38608.548602552313</v>
      </c>
      <c r="H9" s="108">
        <f>+DR!G26*(1-Pressupostos!$B$28)</f>
        <v>98038.202320050812</v>
      </c>
    </row>
    <row r="10" spans="1:8" ht="12.75">
      <c r="A10" s="58" t="s">
        <v>251</v>
      </c>
      <c r="B10" s="197"/>
      <c r="C10" s="108">
        <f>+DR!B24</f>
        <v>1722.2222222222222</v>
      </c>
      <c r="D10" s="108">
        <f>+DR!C24</f>
        <v>4233.3</v>
      </c>
      <c r="E10" s="108">
        <f>+DR!D24</f>
        <v>6408.2800000000007</v>
      </c>
      <c r="F10" s="108">
        <f>+DR!E24</f>
        <v>6198.6477777777782</v>
      </c>
      <c r="G10" s="108">
        <f>+DR!F24</f>
        <v>3962.4700000000003</v>
      </c>
      <c r="H10" s="108">
        <f>+DR!G24</f>
        <v>1599.99</v>
      </c>
    </row>
    <row r="11" spans="1:8" ht="12.75">
      <c r="A11" s="58" t="s">
        <v>315</v>
      </c>
      <c r="B11" s="197"/>
      <c r="C11" s="108">
        <f>+DR!B25</f>
        <v>0</v>
      </c>
      <c r="D11" s="108">
        <f>+DR!C25</f>
        <v>0</v>
      </c>
      <c r="E11" s="108">
        <f>+DR!D25</f>
        <v>0</v>
      </c>
      <c r="F11" s="108">
        <f>+DR!E25</f>
        <v>0</v>
      </c>
      <c r="G11" s="108">
        <f>+DR!F25</f>
        <v>0</v>
      </c>
      <c r="H11" s="108">
        <f>+DR!G25</f>
        <v>0</v>
      </c>
    </row>
    <row r="12" spans="1:8" ht="13.5" thickBot="1">
      <c r="A12" s="58"/>
      <c r="B12" s="120"/>
      <c r="C12" s="142">
        <f t="shared" ref="C12:H12" si="0">SUM(C9:C11)</f>
        <v>-2583.7269444444451</v>
      </c>
      <c r="D12" s="142">
        <f t="shared" si="0"/>
        <v>-21325.267500000005</v>
      </c>
      <c r="E12" s="142">
        <f t="shared" si="0"/>
        <v>-12137.193687500001</v>
      </c>
      <c r="F12" s="142">
        <f t="shared" si="0"/>
        <v>5625.6209059694474</v>
      </c>
      <c r="G12" s="142">
        <f t="shared" si="0"/>
        <v>42571.018602552314</v>
      </c>
      <c r="H12" s="142">
        <f t="shared" si="0"/>
        <v>99638.192320050817</v>
      </c>
    </row>
    <row r="13" spans="1:8" ht="13.5" thickTop="1">
      <c r="A13" s="68" t="s">
        <v>316</v>
      </c>
      <c r="B13" s="198"/>
      <c r="C13" s="199"/>
      <c r="D13" s="199"/>
      <c r="E13" s="199"/>
      <c r="F13" s="199"/>
      <c r="G13" s="199"/>
      <c r="H13" s="199"/>
    </row>
    <row r="14" spans="1:8" ht="12.75">
      <c r="A14" s="196" t="s">
        <v>317</v>
      </c>
      <c r="B14" s="200"/>
      <c r="C14" s="108">
        <f>-FundoManeio!C24</f>
        <v>-5671.2291666666661</v>
      </c>
      <c r="D14" s="108">
        <f>-FundoManeio!D24</f>
        <v>-1046.4436666666679</v>
      </c>
      <c r="E14" s="108">
        <f>-FundoManeio!E24</f>
        <v>-3545.1840183333352</v>
      </c>
      <c r="F14" s="108">
        <f>-FundoManeio!F24</f>
        <v>-7363.6926410499964</v>
      </c>
      <c r="G14" s="108">
        <f>-FundoManeio!G24</f>
        <v>-15605.374460178173</v>
      </c>
      <c r="H14" s="108">
        <f>-FundoManeio!H24</f>
        <v>-23248.269680257959</v>
      </c>
    </row>
    <row r="15" spans="1:8">
      <c r="A15" s="201"/>
      <c r="B15" s="201"/>
      <c r="C15" s="201"/>
      <c r="D15" s="201"/>
      <c r="E15" s="201"/>
      <c r="F15" s="201"/>
      <c r="G15" s="201"/>
      <c r="H15" s="201"/>
    </row>
    <row r="16" spans="1:8" ht="13.5" thickBot="1">
      <c r="A16" s="145" t="s">
        <v>318</v>
      </c>
      <c r="B16" s="202"/>
      <c r="C16" s="142">
        <f t="shared" ref="C16:H16" si="1">+SUM(C12:C14)</f>
        <v>-8254.9561111111107</v>
      </c>
      <c r="D16" s="142">
        <f t="shared" si="1"/>
        <v>-22371.711166666675</v>
      </c>
      <c r="E16" s="142">
        <f t="shared" si="1"/>
        <v>-15682.377705833336</v>
      </c>
      <c r="F16" s="142">
        <f t="shared" si="1"/>
        <v>-1738.0717350805489</v>
      </c>
      <c r="G16" s="142">
        <f t="shared" si="1"/>
        <v>26965.644142374142</v>
      </c>
      <c r="H16" s="142">
        <f t="shared" si="1"/>
        <v>76389.922639792858</v>
      </c>
    </row>
    <row r="17" spans="1:9" ht="13.5" thickTop="1">
      <c r="A17" s="203"/>
      <c r="B17" s="204"/>
      <c r="C17" s="117"/>
      <c r="D17" s="117"/>
      <c r="E17" s="117"/>
      <c r="F17" s="117"/>
      <c r="G17" s="117"/>
      <c r="H17" s="117"/>
    </row>
    <row r="18" spans="1:9" ht="12.75">
      <c r="A18" s="68" t="s">
        <v>319</v>
      </c>
      <c r="B18" s="198"/>
      <c r="C18" s="199"/>
      <c r="D18" s="199"/>
      <c r="E18" s="199"/>
      <c r="F18" s="199"/>
      <c r="G18" s="199"/>
      <c r="H18" s="199"/>
    </row>
    <row r="19" spans="1:9" ht="12.75">
      <c r="A19" s="58" t="s">
        <v>320</v>
      </c>
      <c r="B19" s="197"/>
      <c r="C19" s="108">
        <f>-Investimento!C29</f>
        <v>-13150</v>
      </c>
      <c r="D19" s="108">
        <f>-Investimento!D29</f>
        <v>-350</v>
      </c>
      <c r="E19" s="108">
        <f>-Investimento!E29</f>
        <v>-6650</v>
      </c>
      <c r="F19" s="108">
        <f>-Investimento!F29</f>
        <v>-3750</v>
      </c>
      <c r="G19" s="108">
        <f>-Investimento!G29</f>
        <v>-350</v>
      </c>
      <c r="H19" s="108">
        <f>-Investimento!H29</f>
        <v>-650</v>
      </c>
    </row>
    <row r="20" spans="1:9" ht="12.75">
      <c r="A20" s="57"/>
      <c r="B20" s="204"/>
      <c r="C20" s="117"/>
      <c r="D20" s="117"/>
      <c r="E20" s="117"/>
      <c r="F20" s="117"/>
      <c r="G20" s="117"/>
      <c r="H20" s="117"/>
    </row>
    <row r="21" spans="1:9" ht="13.5" thickBot="1">
      <c r="A21" s="145" t="s">
        <v>321</v>
      </c>
      <c r="B21" s="202"/>
      <c r="C21" s="142">
        <f t="shared" ref="C21:H21" si="2">+C12+C14+C19</f>
        <v>-21404.956111111111</v>
      </c>
      <c r="D21" s="142">
        <f t="shared" si="2"/>
        <v>-22721.711166666675</v>
      </c>
      <c r="E21" s="142">
        <f t="shared" si="2"/>
        <v>-22332.377705833336</v>
      </c>
      <c r="F21" s="142">
        <f t="shared" si="2"/>
        <v>-5488.0717350805489</v>
      </c>
      <c r="G21" s="142">
        <f t="shared" si="2"/>
        <v>26615.644142374142</v>
      </c>
      <c r="H21" s="142">
        <f t="shared" si="2"/>
        <v>75739.922639792858</v>
      </c>
    </row>
    <row r="22" spans="1:9" ht="13.5" thickTop="1">
      <c r="A22" s="203"/>
      <c r="B22" s="204"/>
      <c r="C22" s="117"/>
      <c r="D22" s="117"/>
      <c r="E22" s="117"/>
      <c r="F22" s="117"/>
      <c r="G22" s="117"/>
      <c r="H22" s="117"/>
    </row>
    <row r="23" spans="1:9" ht="13.5" thickBot="1">
      <c r="A23" s="145" t="s">
        <v>322</v>
      </c>
      <c r="B23" s="202"/>
      <c r="C23" s="142">
        <f>+SUM(C21)</f>
        <v>-21404.956111111111</v>
      </c>
      <c r="D23" s="142">
        <f>+SUM($C$21:D21)</f>
        <v>-44126.667277777786</v>
      </c>
      <c r="E23" s="142">
        <f>+SUM($C$21:E21)</f>
        <v>-66459.044983611122</v>
      </c>
      <c r="F23" s="142">
        <f>+SUM($C$21:F21)</f>
        <v>-71947.116718691672</v>
      </c>
      <c r="G23" s="142">
        <f>+SUM($C$21:G21)</f>
        <v>-45331.47257631753</v>
      </c>
      <c r="H23" s="142">
        <f>+SUM($C$21:H21)</f>
        <v>30408.450063475328</v>
      </c>
    </row>
    <row r="24" spans="1:9" ht="13.5" thickTop="1">
      <c r="A24" s="67"/>
      <c r="B24" s="205"/>
      <c r="C24" s="134"/>
      <c r="D24" s="134"/>
      <c r="E24" s="134"/>
      <c r="F24" s="134"/>
      <c r="G24" s="134"/>
      <c r="H24" s="134"/>
    </row>
    <row r="25" spans="1:9" ht="12.75">
      <c r="A25" s="206"/>
      <c r="B25" s="207"/>
      <c r="C25" s="208"/>
      <c r="D25" s="208"/>
      <c r="E25" s="208"/>
      <c r="F25" s="208"/>
      <c r="G25" s="208"/>
      <c r="H25" s="208"/>
      <c r="I25" s="209"/>
    </row>
    <row r="26" spans="1:9" ht="12.75">
      <c r="A26" s="135"/>
      <c r="B26" s="207"/>
      <c r="C26" s="134"/>
      <c r="D26" s="134"/>
      <c r="E26" s="134"/>
      <c r="F26" s="134"/>
      <c r="G26" s="134"/>
      <c r="H26" s="134"/>
    </row>
    <row r="27" spans="1:9" ht="12.75">
      <c r="A27" s="135"/>
      <c r="B27" s="207"/>
      <c r="C27" s="134"/>
      <c r="D27" s="134"/>
      <c r="E27" s="134"/>
      <c r="F27" s="134"/>
      <c r="G27" s="134"/>
      <c r="H27" s="134"/>
    </row>
    <row r="28" spans="1:9" ht="12.75">
      <c r="A28" s="135"/>
      <c r="B28" s="207"/>
      <c r="C28" s="134"/>
      <c r="D28" s="134"/>
      <c r="E28" s="134"/>
      <c r="F28" s="134"/>
      <c r="G28" s="134"/>
      <c r="H28" s="134"/>
    </row>
    <row r="29" spans="1:9" ht="12.75">
      <c r="A29" s="135"/>
      <c r="B29" s="207"/>
      <c r="C29" s="134"/>
      <c r="D29" s="134"/>
      <c r="E29" s="134"/>
      <c r="F29" s="134"/>
      <c r="G29" s="134"/>
      <c r="H29" s="134"/>
    </row>
    <row r="30" spans="1:9" ht="12.75">
      <c r="A30" s="135"/>
      <c r="B30" s="207"/>
      <c r="C30" s="134"/>
      <c r="D30" s="134"/>
      <c r="E30" s="134"/>
      <c r="F30" s="134"/>
      <c r="G30" s="134"/>
      <c r="H30" s="134"/>
    </row>
    <row r="31" spans="1:9" ht="12.75">
      <c r="A31" s="135"/>
      <c r="B31" s="207"/>
      <c r="C31" s="134"/>
      <c r="D31" s="134"/>
      <c r="E31" s="134"/>
      <c r="F31" s="134"/>
      <c r="G31" s="134"/>
      <c r="H31" s="134"/>
    </row>
    <row r="32" spans="1:9" ht="12.75">
      <c r="A32" s="135"/>
      <c r="B32" s="207"/>
      <c r="C32" s="134"/>
      <c r="D32" s="134"/>
      <c r="E32" s="134"/>
      <c r="F32" s="134"/>
      <c r="G32" s="134"/>
      <c r="H32" s="134"/>
    </row>
    <row r="33" spans="1:8" ht="12.75">
      <c r="A33" s="135"/>
      <c r="B33" s="207"/>
      <c r="C33" s="134"/>
      <c r="D33" s="134"/>
      <c r="E33" s="134"/>
      <c r="F33" s="134"/>
      <c r="G33" s="134"/>
      <c r="H33" s="134"/>
    </row>
    <row r="34" spans="1:8" ht="12.75">
      <c r="A34" s="135"/>
      <c r="B34" s="207"/>
      <c r="C34" s="134"/>
      <c r="D34" s="134"/>
      <c r="E34" s="134"/>
      <c r="F34" s="134"/>
      <c r="G34" s="134"/>
      <c r="H34" s="134"/>
    </row>
    <row r="35" spans="1:8" ht="12.75">
      <c r="A35" s="135"/>
      <c r="B35" s="207"/>
      <c r="C35" s="134"/>
      <c r="D35" s="134"/>
      <c r="E35" s="134"/>
      <c r="F35" s="134"/>
      <c r="G35" s="134"/>
      <c r="H35" s="134"/>
    </row>
    <row r="36" spans="1:8" ht="12.75">
      <c r="A36" s="206"/>
      <c r="B36" s="207"/>
      <c r="C36" s="208"/>
      <c r="D36" s="208"/>
      <c r="E36" s="208"/>
      <c r="F36" s="208"/>
      <c r="G36" s="208"/>
      <c r="H36" s="208"/>
    </row>
    <row r="37" spans="1:8" ht="12.75">
      <c r="A37" s="210"/>
      <c r="B37" s="207"/>
      <c r="C37" s="210"/>
      <c r="D37" s="67"/>
      <c r="E37" s="67"/>
      <c r="F37" s="67"/>
      <c r="G37" s="67"/>
      <c r="H37" s="67"/>
    </row>
    <row r="38" spans="1:8" ht="12.75">
      <c r="A38" s="67"/>
      <c r="B38" s="67"/>
      <c r="C38" s="67"/>
      <c r="D38" s="67"/>
      <c r="E38" s="67"/>
      <c r="F38" s="67"/>
      <c r="G38" s="67"/>
      <c r="H38" s="67"/>
    </row>
  </sheetData>
  <sheetProtection password="8318" sheet="1" objects="1" scenarios="1"/>
  <mergeCells count="1">
    <mergeCell ref="A4:H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D204-1A64-400D-BD2C-45E8D46B36C7}">
  <sheetPr codeName="Folha5"/>
  <dimension ref="A1:H35"/>
  <sheetViews>
    <sheetView showGridLines="0" showZeros="0" topLeftCell="A11" zoomScaleNormal="100" workbookViewId="0">
      <selection activeCell="H30" sqref="H30"/>
    </sheetView>
  </sheetViews>
  <sheetFormatPr defaultColWidth="8.7109375" defaultRowHeight="12.75"/>
  <cols>
    <col min="1" max="1" width="30.5703125" style="67" customWidth="1"/>
    <col min="2" max="2" width="3.140625" style="67" customWidth="1"/>
    <col min="3" max="3" width="13.5703125" style="67" customWidth="1"/>
    <col min="4" max="4" width="12.140625" style="67" customWidth="1"/>
    <col min="5" max="8" width="11.7109375" style="67" customWidth="1"/>
    <col min="9" max="16384" width="8.7109375" style="67"/>
  </cols>
  <sheetData>
    <row r="1" spans="1:8" ht="13.5">
      <c r="A1" s="57"/>
      <c r="B1" s="57"/>
      <c r="C1" s="47"/>
      <c r="D1" s="47"/>
      <c r="E1" s="47"/>
      <c r="F1" s="47"/>
      <c r="G1" s="48" t="s">
        <v>26</v>
      </c>
      <c r="H1" s="89" t="str">
        <f>+Pressupostos!E1</f>
        <v>WAITR</v>
      </c>
    </row>
    <row r="2" spans="1:8">
      <c r="A2" s="57"/>
      <c r="B2" s="57"/>
      <c r="C2" s="57"/>
      <c r="D2" s="57"/>
      <c r="E2" s="57"/>
      <c r="F2" s="57"/>
      <c r="G2" s="57"/>
      <c r="H2" s="52" t="str">
        <f>+Pressupostos!B9</f>
        <v>Euros</v>
      </c>
    </row>
    <row r="3" spans="1:8">
      <c r="A3" s="57"/>
      <c r="B3" s="57"/>
      <c r="C3" s="57"/>
      <c r="D3" s="57"/>
      <c r="E3" s="57"/>
      <c r="F3" s="57"/>
      <c r="G3" s="57"/>
      <c r="H3" s="52"/>
    </row>
    <row r="4" spans="1:8" ht="15.75">
      <c r="A4" s="457" t="s">
        <v>323</v>
      </c>
      <c r="B4" s="457"/>
      <c r="C4" s="457"/>
      <c r="D4" s="457"/>
      <c r="E4" s="457"/>
      <c r="F4" s="457"/>
      <c r="G4" s="457"/>
      <c r="H4" s="457"/>
    </row>
    <row r="5" spans="1:8">
      <c r="A5" s="57"/>
      <c r="B5" s="57"/>
      <c r="C5" s="57"/>
      <c r="D5" s="57"/>
      <c r="E5" s="57"/>
      <c r="F5" s="57"/>
      <c r="G5" s="57"/>
      <c r="H5" s="57"/>
    </row>
    <row r="6" spans="1:8">
      <c r="A6" s="57"/>
      <c r="B6" s="57"/>
      <c r="C6" s="57"/>
      <c r="D6" s="57"/>
      <c r="E6" s="57"/>
      <c r="F6" s="57"/>
      <c r="G6" s="57"/>
      <c r="H6" s="57"/>
    </row>
    <row r="7" spans="1:8">
      <c r="A7" s="55"/>
      <c r="B7" s="76"/>
      <c r="C7" s="54">
        <f>+VN!C8</f>
        <v>2024</v>
      </c>
      <c r="D7" s="54">
        <f>+VN!D8</f>
        <v>2025</v>
      </c>
      <c r="E7" s="54">
        <f>+VN!E8</f>
        <v>2026</v>
      </c>
      <c r="F7" s="54">
        <f>+VN!F8</f>
        <v>2027</v>
      </c>
      <c r="G7" s="54">
        <f>+VN!G8</f>
        <v>2028</v>
      </c>
      <c r="H7" s="54">
        <f>+VN!H8</f>
        <v>2029</v>
      </c>
    </row>
    <row r="8" spans="1:8">
      <c r="A8" s="497" t="s">
        <v>324</v>
      </c>
      <c r="B8" s="498"/>
      <c r="C8" s="108"/>
      <c r="D8" s="108"/>
      <c r="E8" s="108"/>
      <c r="F8" s="108"/>
      <c r="G8" s="108"/>
      <c r="H8" s="108"/>
    </row>
    <row r="9" spans="1:8">
      <c r="A9" s="118" t="s">
        <v>325</v>
      </c>
      <c r="B9" s="94"/>
      <c r="C9" s="211">
        <f>+DR!B26+DR!B24+DR!B25+DR!B17</f>
        <v>-3709.0833333333335</v>
      </c>
      <c r="D9" s="211">
        <f>+DR!C26+DR!C24+DR!C25+DR!C17</f>
        <v>-28894.000000000004</v>
      </c>
      <c r="E9" s="211">
        <f>+DR!D26+DR!D24+DR!D25+DR!D17</f>
        <v>-16548.779000000002</v>
      </c>
      <c r="F9" s="211">
        <f>+DR!E26+DR!E24+DR!E25+DR!E17</f>
        <v>8912.9039200000043</v>
      </c>
      <c r="G9" s="211">
        <f>+DR!F26+DR!F24+DR!F25+DR!F17</f>
        <v>62369.798874600092</v>
      </c>
      <c r="H9" s="211">
        <f>+DR!G26+DR!G24+DR!G25+DR!G17</f>
        <v>144432.78962194806</v>
      </c>
    </row>
    <row r="10" spans="1:8">
      <c r="A10" s="118" t="s">
        <v>326</v>
      </c>
      <c r="B10" s="94"/>
      <c r="C10" s="211">
        <f>+Financiamento!C15</f>
        <v>0</v>
      </c>
      <c r="D10" s="211">
        <f>+Financiamento!D15</f>
        <v>0</v>
      </c>
      <c r="E10" s="211">
        <f>+Financiamento!E15</f>
        <v>0</v>
      </c>
      <c r="F10" s="211">
        <f>+Financiamento!F15</f>
        <v>0</v>
      </c>
      <c r="G10" s="211">
        <f>+Financiamento!G15</f>
        <v>0</v>
      </c>
      <c r="H10" s="211">
        <f>+Financiamento!H15</f>
        <v>0</v>
      </c>
    </row>
    <row r="11" spans="1:8">
      <c r="A11" s="118" t="s">
        <v>266</v>
      </c>
      <c r="B11" s="94"/>
      <c r="C11" s="211">
        <f>+Financiamento!C16+Financiamento!C17+Financiamento!C19</f>
        <v>5000</v>
      </c>
      <c r="D11" s="211">
        <f>+Financiamento!D16+Financiamento!D17+Financiamento!D19</f>
        <v>0</v>
      </c>
      <c r="E11" s="211">
        <f>+Financiamento!E16+Financiamento!E17+Financiamento!E19</f>
        <v>0</v>
      </c>
      <c r="F11" s="211">
        <f>+Financiamento!F16+Financiamento!F17+Financiamento!F19</f>
        <v>0</v>
      </c>
      <c r="G11" s="211">
        <f>+Financiamento!G16+Financiamento!G17+Financiamento!G19</f>
        <v>0</v>
      </c>
      <c r="H11" s="211">
        <f>+Financiamento!H16+Financiamento!H17+Financiamento!H19</f>
        <v>0</v>
      </c>
    </row>
    <row r="12" spans="1:8">
      <c r="A12" s="118" t="s">
        <v>327</v>
      </c>
      <c r="B12" s="94"/>
      <c r="C12" s="211">
        <f>+Financiamento!C18</f>
        <v>10000</v>
      </c>
      <c r="D12" s="211">
        <f>+Financiamento!D18</f>
        <v>0</v>
      </c>
      <c r="E12" s="211">
        <f>+Financiamento!E18</f>
        <v>0</v>
      </c>
      <c r="F12" s="211">
        <f>+Financiamento!F18</f>
        <v>0</v>
      </c>
      <c r="G12" s="211">
        <f>+Financiamento!G18</f>
        <v>0</v>
      </c>
      <c r="H12" s="211">
        <f>+Financiamento!H18</f>
        <v>0</v>
      </c>
    </row>
    <row r="13" spans="1:8">
      <c r="A13" s="118" t="s">
        <v>328</v>
      </c>
      <c r="B13" s="94"/>
      <c r="C13" s="211"/>
      <c r="D13" s="211"/>
      <c r="E13" s="211"/>
      <c r="F13" s="211"/>
      <c r="G13" s="211"/>
      <c r="H13" s="211"/>
    </row>
    <row r="14" spans="1:8">
      <c r="A14" s="118" t="s">
        <v>329</v>
      </c>
      <c r="B14" s="94"/>
      <c r="C14" s="211">
        <f>+IF(FundoManeio!C24&lt;0,-FundoManeio!C24,0)</f>
        <v>0</v>
      </c>
      <c r="D14" s="211">
        <f>+IF(FundoManeio!D24&lt;0,-FundoManeio!D24,0)</f>
        <v>0</v>
      </c>
      <c r="E14" s="211">
        <f>+IF(FundoManeio!E24&lt;0,-FundoManeio!E24,0)</f>
        <v>0</v>
      </c>
      <c r="F14" s="211">
        <f>+IF(FundoManeio!F24&lt;0,-FundoManeio!F24,0)</f>
        <v>0</v>
      </c>
      <c r="G14" s="211">
        <f>+IF(FundoManeio!G24&lt;0,-FundoManeio!G24,0)</f>
        <v>0</v>
      </c>
      <c r="H14" s="211">
        <f>+IF(FundoManeio!H24&lt;0,-FundoManeio!H24,0)</f>
        <v>0</v>
      </c>
    </row>
    <row r="15" spans="1:8">
      <c r="A15" s="118" t="s">
        <v>330</v>
      </c>
      <c r="B15" s="94"/>
      <c r="C15" s="211">
        <f>+DR!B27</f>
        <v>0</v>
      </c>
      <c r="D15" s="211">
        <f>+DR!C27</f>
        <v>0</v>
      </c>
      <c r="E15" s="211">
        <f>+DR!D27</f>
        <v>0</v>
      </c>
      <c r="F15" s="211">
        <f>+DR!E27</f>
        <v>0</v>
      </c>
      <c r="G15" s="211">
        <f>+DR!F27</f>
        <v>0</v>
      </c>
      <c r="H15" s="211">
        <f>+DR!G27</f>
        <v>0</v>
      </c>
    </row>
    <row r="16" spans="1:8">
      <c r="A16" s="501"/>
      <c r="B16" s="502"/>
      <c r="C16" s="212"/>
      <c r="D16" s="212"/>
      <c r="E16" s="212"/>
      <c r="F16" s="212"/>
      <c r="G16" s="212"/>
      <c r="H16" s="212"/>
    </row>
    <row r="17" spans="1:8">
      <c r="A17" s="499" t="s">
        <v>331</v>
      </c>
      <c r="B17" s="500"/>
      <c r="C17" s="213">
        <f t="shared" ref="C17:H17" si="0">+SUM(C9:C16)</f>
        <v>11290.916666666666</v>
      </c>
      <c r="D17" s="213">
        <f t="shared" si="0"/>
        <v>-28894.000000000004</v>
      </c>
      <c r="E17" s="213">
        <f t="shared" si="0"/>
        <v>-16548.779000000002</v>
      </c>
      <c r="F17" s="213">
        <f t="shared" si="0"/>
        <v>8912.9039200000043</v>
      </c>
      <c r="G17" s="213">
        <f t="shared" si="0"/>
        <v>62369.798874600092</v>
      </c>
      <c r="H17" s="213">
        <f t="shared" si="0"/>
        <v>144432.78962194806</v>
      </c>
    </row>
    <row r="18" spans="1:8" ht="14.25" customHeight="1">
      <c r="A18" s="497" t="s">
        <v>332</v>
      </c>
      <c r="B18" s="498"/>
      <c r="C18" s="214"/>
      <c r="D18" s="214"/>
      <c r="E18" s="214"/>
      <c r="F18" s="214"/>
      <c r="G18" s="214"/>
      <c r="H18" s="214"/>
    </row>
    <row r="19" spans="1:8">
      <c r="A19" s="118" t="s">
        <v>333</v>
      </c>
      <c r="B19" s="76"/>
      <c r="C19" s="211">
        <f>+Investimento!C29</f>
        <v>13150</v>
      </c>
      <c r="D19" s="211">
        <f>+Investimento!D29</f>
        <v>350</v>
      </c>
      <c r="E19" s="211">
        <f>+Investimento!E29</f>
        <v>6650</v>
      </c>
      <c r="F19" s="211">
        <f>+Investimento!F29</f>
        <v>3750</v>
      </c>
      <c r="G19" s="211">
        <f>+Investimento!G29</f>
        <v>350</v>
      </c>
      <c r="H19" s="211">
        <f>+Investimento!H29</f>
        <v>650</v>
      </c>
    </row>
    <row r="20" spans="1:8">
      <c r="A20" s="118" t="s">
        <v>334</v>
      </c>
      <c r="B20" s="76"/>
      <c r="C20" s="211">
        <f>+IF(FundoManeio!C24&gt;0,FundoManeio!C24,0)</f>
        <v>5671.2291666666661</v>
      </c>
      <c r="D20" s="211">
        <f>+IF(FundoManeio!D24&gt;0,FundoManeio!D24,0)</f>
        <v>1046.4436666666679</v>
      </c>
      <c r="E20" s="211">
        <f>+IF(FundoManeio!E24&gt;0,FundoManeio!E24,0)</f>
        <v>3545.1840183333352</v>
      </c>
      <c r="F20" s="211">
        <f>+IF(FundoManeio!F24&gt;0,FundoManeio!F24,0)</f>
        <v>7363.6926410499964</v>
      </c>
      <c r="G20" s="211">
        <f>+IF(FundoManeio!G24&gt;0,FundoManeio!G24,0)</f>
        <v>15605.374460178173</v>
      </c>
      <c r="H20" s="211">
        <f>+IF(FundoManeio!H24&gt;0,FundoManeio!H24,0)</f>
        <v>23248.269680257959</v>
      </c>
    </row>
    <row r="21" spans="1:8">
      <c r="A21" s="118" t="s">
        <v>335</v>
      </c>
      <c r="B21" s="76"/>
      <c r="C21" s="211"/>
      <c r="D21" s="211">
        <f>+DR!B30</f>
        <v>0</v>
      </c>
      <c r="E21" s="211">
        <f>+DR!C30</f>
        <v>0</v>
      </c>
      <c r="F21" s="211">
        <f>+DR!D30</f>
        <v>0</v>
      </c>
      <c r="G21" s="211">
        <f>+DR!E30</f>
        <v>0</v>
      </c>
      <c r="H21" s="211">
        <f>+DR!F30</f>
        <v>0</v>
      </c>
    </row>
    <row r="22" spans="1:8">
      <c r="A22" s="118" t="s">
        <v>336</v>
      </c>
      <c r="B22" s="76"/>
      <c r="C22" s="396"/>
      <c r="D22" s="396"/>
      <c r="E22" s="396"/>
      <c r="F22" s="396"/>
      <c r="G22" s="396"/>
      <c r="H22" s="396"/>
    </row>
    <row r="23" spans="1:8">
      <c r="A23" s="118" t="s">
        <v>337</v>
      </c>
      <c r="B23" s="76"/>
      <c r="C23" s="211">
        <f>+Financiamento!C104</f>
        <v>0</v>
      </c>
      <c r="D23" s="211">
        <f>+Financiamento!D104</f>
        <v>0</v>
      </c>
      <c r="E23" s="211">
        <f>+Financiamento!E104</f>
        <v>1666.6666666666667</v>
      </c>
      <c r="F23" s="211">
        <f>+Financiamento!F104</f>
        <v>1666.6666666666667</v>
      </c>
      <c r="G23" s="211">
        <f>+Financiamento!G104</f>
        <v>1666.6666666666667</v>
      </c>
      <c r="H23" s="211">
        <f>+Financiamento!H104</f>
        <v>1666.6666666666667</v>
      </c>
    </row>
    <row r="24" spans="1:8">
      <c r="A24" s="118" t="s">
        <v>338</v>
      </c>
      <c r="B24" s="76"/>
      <c r="C24" s="211">
        <f>+DR!B28</f>
        <v>104.58333333333334</v>
      </c>
      <c r="D24" s="211">
        <f>+DR!C28</f>
        <v>251</v>
      </c>
      <c r="E24" s="211">
        <f>+DR!D28</f>
        <v>251</v>
      </c>
      <c r="F24" s="211">
        <f>+DR!E28</f>
        <v>209.16666666666671</v>
      </c>
      <c r="G24" s="211">
        <f>+DR!F28</f>
        <v>167.33333333333334</v>
      </c>
      <c r="H24" s="211">
        <f>+DR!G28</f>
        <v>125.5</v>
      </c>
    </row>
    <row r="25" spans="1:8">
      <c r="A25" s="501"/>
      <c r="B25" s="502"/>
      <c r="C25" s="211"/>
      <c r="D25" s="211"/>
      <c r="E25" s="211"/>
      <c r="F25" s="211"/>
      <c r="G25" s="211"/>
      <c r="H25" s="211"/>
    </row>
    <row r="26" spans="1:8">
      <c r="A26" s="499" t="s">
        <v>339</v>
      </c>
      <c r="B26" s="500"/>
      <c r="C26" s="213">
        <f t="shared" ref="C26:H26" si="1">+SUM(C19:C25)</f>
        <v>18925.812499999996</v>
      </c>
      <c r="D26" s="213">
        <f t="shared" si="1"/>
        <v>1647.4436666666679</v>
      </c>
      <c r="E26" s="213">
        <f t="shared" si="1"/>
        <v>12112.850685000001</v>
      </c>
      <c r="F26" s="213">
        <f t="shared" si="1"/>
        <v>12989.525974383329</v>
      </c>
      <c r="G26" s="213">
        <f t="shared" si="1"/>
        <v>17789.374460178173</v>
      </c>
      <c r="H26" s="213">
        <f t="shared" si="1"/>
        <v>25690.436346924627</v>
      </c>
    </row>
    <row r="27" spans="1:8">
      <c r="A27" s="503" t="s">
        <v>340</v>
      </c>
      <c r="B27" s="504"/>
      <c r="C27" s="213">
        <f t="shared" ref="C27:H27" si="2">+C17-C26</f>
        <v>-7634.8958333333303</v>
      </c>
      <c r="D27" s="213">
        <f t="shared" si="2"/>
        <v>-30541.443666666673</v>
      </c>
      <c r="E27" s="213">
        <f t="shared" si="2"/>
        <v>-28661.629685000004</v>
      </c>
      <c r="F27" s="213">
        <f t="shared" si="2"/>
        <v>-4076.6220543833242</v>
      </c>
      <c r="G27" s="213">
        <f t="shared" si="2"/>
        <v>44580.424414421919</v>
      </c>
      <c r="H27" s="213">
        <f t="shared" si="2"/>
        <v>118742.35327502343</v>
      </c>
    </row>
    <row r="28" spans="1:8">
      <c r="A28" s="503" t="s">
        <v>341</v>
      </c>
      <c r="B28" s="504"/>
      <c r="C28" s="213">
        <f>+C27</f>
        <v>-7634.8958333333303</v>
      </c>
      <c r="D28" s="213">
        <f>+C28+D27</f>
        <v>-38176.339500000002</v>
      </c>
      <c r="E28" s="213">
        <f>+D28+E27</f>
        <v>-66837.969185000009</v>
      </c>
      <c r="F28" s="213">
        <f>+E28+F27</f>
        <v>-70914.591239383328</v>
      </c>
      <c r="G28" s="213">
        <f>+F28+G27</f>
        <v>-26334.166824961409</v>
      </c>
      <c r="H28" s="213">
        <f>+G28+H27</f>
        <v>92408.186450062029</v>
      </c>
    </row>
    <row r="29" spans="1:8">
      <c r="A29" s="503" t="s">
        <v>342</v>
      </c>
      <c r="B29" s="504"/>
      <c r="C29" s="43">
        <v>0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</row>
    <row r="30" spans="1:8">
      <c r="A30" s="503" t="s">
        <v>343</v>
      </c>
      <c r="B30" s="504"/>
      <c r="C30" s="43">
        <f t="shared" ref="C30:H30" si="3">+C28-C29</f>
        <v>-7634.8958333333303</v>
      </c>
      <c r="D30" s="43">
        <f t="shared" si="3"/>
        <v>-38176.339500000002</v>
      </c>
      <c r="E30" s="43">
        <f t="shared" si="3"/>
        <v>-66837.969185000009</v>
      </c>
      <c r="F30" s="43">
        <f t="shared" si="3"/>
        <v>-70914.591239383328</v>
      </c>
      <c r="G30" s="43">
        <f t="shared" si="3"/>
        <v>-26334.166824961409</v>
      </c>
      <c r="H30" s="43">
        <f t="shared" si="3"/>
        <v>92408.186450062029</v>
      </c>
    </row>
    <row r="31" spans="1:8">
      <c r="A31" s="57"/>
      <c r="B31" s="57"/>
      <c r="C31" s="57"/>
      <c r="D31" s="57"/>
      <c r="E31" s="57"/>
      <c r="F31" s="57"/>
      <c r="G31" s="57"/>
      <c r="H31" s="57"/>
    </row>
    <row r="32" spans="1:8">
      <c r="A32" s="57"/>
      <c r="B32" s="57"/>
      <c r="C32" s="57"/>
      <c r="D32" s="57"/>
      <c r="E32" s="57"/>
      <c r="F32" s="57"/>
      <c r="G32" s="57"/>
      <c r="H32" s="57"/>
    </row>
    <row r="33" spans="1:8">
      <c r="A33" s="57"/>
      <c r="B33" s="57"/>
      <c r="C33" s="57"/>
      <c r="D33" s="57"/>
      <c r="E33" s="57"/>
      <c r="F33" s="57"/>
      <c r="G33" s="57"/>
      <c r="H33" s="57"/>
    </row>
    <row r="34" spans="1:8">
      <c r="A34" s="149"/>
      <c r="B34" s="57"/>
      <c r="C34" s="57"/>
      <c r="D34" s="57"/>
      <c r="E34" s="150"/>
      <c r="F34" s="57"/>
      <c r="G34" s="57"/>
      <c r="H34" s="57"/>
    </row>
    <row r="35" spans="1:8">
      <c r="A35" s="57"/>
      <c r="B35" s="57"/>
      <c r="C35" s="57"/>
      <c r="D35" s="57"/>
      <c r="E35" s="57"/>
      <c r="F35" s="57"/>
      <c r="G35" s="57"/>
      <c r="H35" s="57"/>
    </row>
  </sheetData>
  <sheetProtection password="8318" sheet="1"/>
  <mergeCells count="11">
    <mergeCell ref="A25:B25"/>
    <mergeCell ref="A30:B30"/>
    <mergeCell ref="A29:B29"/>
    <mergeCell ref="A28:B28"/>
    <mergeCell ref="A26:B26"/>
    <mergeCell ref="A27:B27"/>
    <mergeCell ref="A4:H4"/>
    <mergeCell ref="A18:B18"/>
    <mergeCell ref="A8:B8"/>
    <mergeCell ref="A17:B17"/>
    <mergeCell ref="A16:B16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FAF37-3BA3-48B4-AE1C-FAEB9A4B157C}">
  <sheetPr codeName="Sheet9">
    <pageSetUpPr fitToPage="1"/>
  </sheetPr>
  <dimension ref="A1:J59"/>
  <sheetViews>
    <sheetView showGridLines="0" showZeros="0" topLeftCell="A37" workbookViewId="0">
      <selection activeCell="I47" sqref="I47"/>
    </sheetView>
  </sheetViews>
  <sheetFormatPr defaultColWidth="8.7109375" defaultRowHeight="12.75"/>
  <cols>
    <col min="1" max="1" width="26.42578125" style="67" customWidth="1"/>
    <col min="2" max="2" width="7.5703125" style="67" customWidth="1"/>
    <col min="3" max="12" width="11.42578125" style="67" customWidth="1"/>
    <col min="13" max="16384" width="8.7109375" style="67"/>
  </cols>
  <sheetData>
    <row r="1" spans="1:10">
      <c r="A1" s="57"/>
      <c r="B1" s="57"/>
      <c r="C1" s="177"/>
      <c r="D1" s="177"/>
      <c r="E1" s="177"/>
      <c r="F1" s="177"/>
      <c r="G1" s="215" t="s">
        <v>26</v>
      </c>
      <c r="H1" s="216" t="str">
        <f>+Pressupostos!E1</f>
        <v>WAITR</v>
      </c>
    </row>
    <row r="2" spans="1:10" s="217" customFormat="1">
      <c r="A2" s="51"/>
      <c r="B2" s="51"/>
      <c r="C2" s="51"/>
      <c r="D2" s="51"/>
      <c r="E2" s="51"/>
      <c r="F2" s="51"/>
      <c r="G2" s="51"/>
      <c r="H2" s="52" t="str">
        <f>+Pressupostos!B9</f>
        <v>Euros</v>
      </c>
    </row>
    <row r="3" spans="1:10" s="217" customFormat="1">
      <c r="A3" s="51"/>
      <c r="B3" s="51"/>
      <c r="C3" s="51"/>
      <c r="D3" s="51"/>
      <c r="E3" s="51"/>
      <c r="F3" s="51"/>
      <c r="G3" s="51"/>
      <c r="H3" s="52"/>
    </row>
    <row r="4" spans="1:10" ht="15.75">
      <c r="A4" s="457" t="s">
        <v>344</v>
      </c>
      <c r="B4" s="457"/>
      <c r="C4" s="457"/>
      <c r="D4" s="457"/>
      <c r="E4" s="457"/>
      <c r="F4" s="457"/>
      <c r="G4" s="457"/>
      <c r="H4" s="457"/>
    </row>
    <row r="5" spans="1:10">
      <c r="A5" s="57"/>
      <c r="B5" s="57"/>
      <c r="C5" s="57"/>
      <c r="D5" s="57"/>
      <c r="E5" s="57"/>
      <c r="F5" s="57"/>
      <c r="G5" s="57"/>
      <c r="H5" s="57"/>
    </row>
    <row r="6" spans="1:10">
      <c r="A6" s="57"/>
      <c r="B6" s="57"/>
      <c r="C6" s="57"/>
      <c r="D6" s="57"/>
      <c r="E6" s="57"/>
      <c r="F6" s="57"/>
      <c r="G6" s="57"/>
      <c r="H6" s="57"/>
    </row>
    <row r="7" spans="1:10">
      <c r="A7" s="55"/>
      <c r="B7" s="76"/>
      <c r="C7" s="54">
        <f>+VN!C8</f>
        <v>2024</v>
      </c>
      <c r="D7" s="54">
        <f>+VN!D8</f>
        <v>2025</v>
      </c>
      <c r="E7" s="54">
        <f>+VN!E8</f>
        <v>2026</v>
      </c>
      <c r="F7" s="54">
        <f>+VN!F8</f>
        <v>2027</v>
      </c>
      <c r="G7" s="54">
        <f>+VN!G8</f>
        <v>2028</v>
      </c>
      <c r="H7" s="54">
        <f>+VN!H8</f>
        <v>2029</v>
      </c>
    </row>
    <row r="8" spans="1:10">
      <c r="A8" s="505" t="s">
        <v>345</v>
      </c>
      <c r="B8" s="506"/>
      <c r="C8" s="218"/>
      <c r="D8" s="218"/>
      <c r="E8" s="218"/>
      <c r="F8" s="218"/>
      <c r="G8" s="218"/>
      <c r="H8" s="218"/>
    </row>
    <row r="9" spans="1:10">
      <c r="A9" s="91" t="s">
        <v>346</v>
      </c>
      <c r="B9" s="124"/>
      <c r="C9" s="139">
        <f t="shared" ref="C9:H9" si="0">SUM(C10:C13)</f>
        <v>11427.777777777777</v>
      </c>
      <c r="D9" s="139">
        <f t="shared" si="0"/>
        <v>7544.4777777777781</v>
      </c>
      <c r="E9" s="139">
        <f t="shared" si="0"/>
        <v>7786.1977777777774</v>
      </c>
      <c r="F9" s="139">
        <f t="shared" si="0"/>
        <v>5337.5499999999993</v>
      </c>
      <c r="G9" s="139">
        <f t="shared" si="0"/>
        <v>1725.0799999999981</v>
      </c>
      <c r="H9" s="139">
        <f t="shared" si="0"/>
        <v>775.08999999999651</v>
      </c>
    </row>
    <row r="10" spans="1:10">
      <c r="A10" s="58" t="s">
        <v>222</v>
      </c>
      <c r="B10" s="124"/>
      <c r="C10" s="108">
        <f>+Investimento!C180</f>
        <v>2687.5</v>
      </c>
      <c r="D10" s="108">
        <f>+Investimento!D180</f>
        <v>2087.5</v>
      </c>
      <c r="E10" s="108">
        <f>+Investimento!E180</f>
        <v>1662.5</v>
      </c>
      <c r="F10" s="108">
        <f>+Investimento!F180</f>
        <v>1187.5</v>
      </c>
      <c r="G10" s="108">
        <f>+Investimento!G180</f>
        <v>575</v>
      </c>
      <c r="H10" s="108">
        <f>+Investimento!H180</f>
        <v>625</v>
      </c>
    </row>
    <row r="11" spans="1:10">
      <c r="A11" s="58" t="s">
        <v>217</v>
      </c>
      <c r="B11" s="124"/>
      <c r="C11" s="108">
        <f>+Investimento!C179</f>
        <v>0</v>
      </c>
      <c r="D11" s="108">
        <f>+Investimento!D179</f>
        <v>0</v>
      </c>
      <c r="E11" s="108">
        <f>+Investimento!E179</f>
        <v>0</v>
      </c>
      <c r="F11" s="108">
        <f>+Investimento!F179</f>
        <v>0</v>
      </c>
      <c r="G11" s="108">
        <f>+Investimento!G179</f>
        <v>0</v>
      </c>
      <c r="H11" s="108">
        <f>+Investimento!H179</f>
        <v>0</v>
      </c>
    </row>
    <row r="12" spans="1:10">
      <c r="A12" s="58" t="s">
        <v>231</v>
      </c>
      <c r="B12" s="124"/>
      <c r="C12" s="108">
        <f>+Investimento!C181</f>
        <v>8740.2777777777774</v>
      </c>
      <c r="D12" s="108">
        <f>+Investimento!D181</f>
        <v>5456.9777777777781</v>
      </c>
      <c r="E12" s="108">
        <f>+Investimento!E181</f>
        <v>6123.6977777777774</v>
      </c>
      <c r="F12" s="108">
        <f>+Investimento!F181</f>
        <v>4150.0499999999993</v>
      </c>
      <c r="G12" s="108">
        <f>+Investimento!G181</f>
        <v>1150.0799999999981</v>
      </c>
      <c r="H12" s="108">
        <f>+Investimento!H181</f>
        <v>150.08999999999651</v>
      </c>
    </row>
    <row r="13" spans="1:10">
      <c r="A13" s="58" t="s">
        <v>347</v>
      </c>
      <c r="B13" s="124"/>
      <c r="C13" s="108"/>
      <c r="D13" s="108"/>
      <c r="E13" s="108"/>
      <c r="F13" s="108"/>
      <c r="G13" s="108"/>
      <c r="H13" s="108"/>
    </row>
    <row r="14" spans="1:10">
      <c r="A14" s="58"/>
      <c r="B14" s="124"/>
      <c r="C14" s="108"/>
      <c r="D14" s="108"/>
      <c r="E14" s="108"/>
      <c r="F14" s="108"/>
      <c r="G14" s="108"/>
      <c r="H14" s="108"/>
    </row>
    <row r="15" spans="1:10">
      <c r="A15" s="91" t="s">
        <v>348</v>
      </c>
      <c r="B15" s="124"/>
      <c r="C15" s="139">
        <f t="shared" ref="C15:H15" si="1">SUM(C16:C22)</f>
        <v>8165.88375</v>
      </c>
      <c r="D15" s="139">
        <f t="shared" si="1"/>
        <v>14371.875</v>
      </c>
      <c r="E15" s="139">
        <f t="shared" si="1"/>
        <v>22091.527624999999</v>
      </c>
      <c r="F15" s="139">
        <f t="shared" si="1"/>
        <v>38418.258212449997</v>
      </c>
      <c r="G15" s="139">
        <f t="shared" si="1"/>
        <v>71863.743760290497</v>
      </c>
      <c r="H15" s="139">
        <f t="shared" si="1"/>
        <v>120204.38879120641</v>
      </c>
      <c r="I15" s="151"/>
      <c r="J15" s="151"/>
    </row>
    <row r="16" spans="1:10">
      <c r="A16" s="58" t="s">
        <v>204</v>
      </c>
      <c r="B16" s="124"/>
      <c r="C16" s="108">
        <f>+FundoManeio!C11</f>
        <v>885.41666666666663</v>
      </c>
      <c r="D16" s="108">
        <f>+FundoManeio!D11</f>
        <v>2709.375</v>
      </c>
      <c r="E16" s="108">
        <f>+FundoManeio!E11</f>
        <v>5370.5231249999997</v>
      </c>
      <c r="F16" s="108">
        <f>+FundoManeio!F11</f>
        <v>10941.77300625</v>
      </c>
      <c r="G16" s="108">
        <f>+FundoManeio!G11</f>
        <v>22558.4217928125</v>
      </c>
      <c r="H16" s="108">
        <f>+FundoManeio!H11</f>
        <v>39798.15954102562</v>
      </c>
      <c r="I16" s="151"/>
      <c r="J16" s="151"/>
    </row>
    <row r="17" spans="1:10">
      <c r="A17" s="58" t="s">
        <v>203</v>
      </c>
      <c r="B17" s="124"/>
      <c r="C17" s="108">
        <f>+FundoManeio!C10-VN!C87</f>
        <v>2273.04</v>
      </c>
      <c r="D17" s="108">
        <f>+FundoManeio!D10-SUM(VN!C87:D87)</f>
        <v>6662.5</v>
      </c>
      <c r="E17" s="108">
        <f>+FundoManeio!E10-SUM(VN!C87:E87)</f>
        <v>11721.004499999999</v>
      </c>
      <c r="F17" s="108">
        <f>+FundoManeio!F10-SUM(VN!C87:F87)</f>
        <v>22476.485206199999</v>
      </c>
      <c r="G17" s="108">
        <f>+FundoManeio!G10-SUM(VN!C87:G87)</f>
        <v>44305.321967478005</v>
      </c>
      <c r="H17" s="108">
        <f>+FundoManeio!H10-SUM(VN!C87:H87)</f>
        <v>75406.229250180797</v>
      </c>
      <c r="I17" s="151"/>
      <c r="J17" s="151"/>
    </row>
    <row r="18" spans="1:10">
      <c r="A18" s="58" t="s">
        <v>349</v>
      </c>
      <c r="B18" s="124"/>
      <c r="C18" s="108">
        <f>+FundoManeio!C12</f>
        <v>7.4270833333333144</v>
      </c>
      <c r="D18" s="108">
        <f>+FundoManeio!D12</f>
        <v>0</v>
      </c>
      <c r="E18" s="108">
        <f>+FundoManeio!E12</f>
        <v>0</v>
      </c>
      <c r="F18" s="108">
        <f>+FundoManeio!F12</f>
        <v>0</v>
      </c>
      <c r="G18" s="108">
        <f>+FundoManeio!G12</f>
        <v>0</v>
      </c>
      <c r="H18" s="108">
        <f>+FundoManeio!H12</f>
        <v>0</v>
      </c>
      <c r="I18" s="151"/>
      <c r="J18" s="151"/>
    </row>
    <row r="19" spans="1:10">
      <c r="A19" s="58" t="s">
        <v>350</v>
      </c>
      <c r="B19" s="124"/>
      <c r="C19" s="108"/>
      <c r="D19" s="108"/>
      <c r="E19" s="108"/>
      <c r="F19" s="108"/>
      <c r="G19" s="108"/>
      <c r="H19" s="108"/>
      <c r="I19" s="151"/>
      <c r="J19" s="151"/>
    </row>
    <row r="20" spans="1:10">
      <c r="A20" s="58" t="s">
        <v>351</v>
      </c>
      <c r="B20" s="124"/>
      <c r="C20" s="108"/>
      <c r="D20" s="108"/>
      <c r="E20" s="108"/>
      <c r="F20" s="108"/>
      <c r="G20" s="108"/>
      <c r="H20" s="108"/>
      <c r="I20" s="151"/>
      <c r="J20" s="151"/>
    </row>
    <row r="21" spans="1:10">
      <c r="A21" s="58" t="s">
        <v>352</v>
      </c>
      <c r="B21" s="124"/>
      <c r="C21" s="108"/>
      <c r="D21" s="108"/>
      <c r="E21" s="108"/>
      <c r="F21" s="108"/>
      <c r="G21" s="108"/>
      <c r="H21" s="108"/>
      <c r="I21" s="151"/>
      <c r="J21" s="151"/>
    </row>
    <row r="22" spans="1:10">
      <c r="A22" s="58" t="s">
        <v>353</v>
      </c>
      <c r="B22" s="124"/>
      <c r="C22" s="108">
        <f>+IF(PlanoFinanceiro!C29&gt;0,PlanoFinanceiro!C29,0)+FundoManeio!C9</f>
        <v>5000</v>
      </c>
      <c r="D22" s="108">
        <f>+IF(PlanoFinanceiro!D29&gt;0,PlanoFinanceiro!D29,0)+FundoManeio!D9</f>
        <v>5000</v>
      </c>
      <c r="E22" s="108">
        <f>+IF(PlanoFinanceiro!E29&gt;0,PlanoFinanceiro!E29,0)+FundoManeio!E9</f>
        <v>5000</v>
      </c>
      <c r="F22" s="108">
        <f>+IF(PlanoFinanceiro!F29&gt;0,PlanoFinanceiro!F29,0)+FundoManeio!F9</f>
        <v>5000</v>
      </c>
      <c r="G22" s="108">
        <f>+IF(PlanoFinanceiro!G29&gt;0,PlanoFinanceiro!G29,0)+FundoManeio!G9</f>
        <v>5000</v>
      </c>
      <c r="H22" s="108">
        <f>+IF(PlanoFinanceiro!H29&gt;0,PlanoFinanceiro!H29,0)+FundoManeio!H9</f>
        <v>5000</v>
      </c>
      <c r="I22" s="151"/>
      <c r="J22" s="151"/>
    </row>
    <row r="23" spans="1:10" ht="13.5" thickBot="1">
      <c r="A23" s="466" t="s">
        <v>354</v>
      </c>
      <c r="B23" s="467"/>
      <c r="C23" s="219">
        <f t="shared" ref="C23:H23" si="2">+C15+C9</f>
        <v>19593.661527777778</v>
      </c>
      <c r="D23" s="219">
        <f t="shared" si="2"/>
        <v>21916.352777777778</v>
      </c>
      <c r="E23" s="219">
        <f t="shared" si="2"/>
        <v>29877.725402777774</v>
      </c>
      <c r="F23" s="219">
        <f t="shared" si="2"/>
        <v>43755.808212449992</v>
      </c>
      <c r="G23" s="219">
        <f t="shared" si="2"/>
        <v>73588.823760290499</v>
      </c>
      <c r="H23" s="219">
        <f t="shared" si="2"/>
        <v>120979.47879120641</v>
      </c>
      <c r="I23" s="151"/>
      <c r="J23" s="151"/>
    </row>
    <row r="24" spans="1:10" ht="13.5" thickTop="1">
      <c r="A24" s="177"/>
      <c r="B24" s="57"/>
      <c r="C24" s="101"/>
      <c r="D24" s="112"/>
      <c r="E24" s="112"/>
      <c r="F24" s="112"/>
      <c r="G24" s="112"/>
      <c r="H24" s="57"/>
      <c r="I24" s="151"/>
      <c r="J24" s="151"/>
    </row>
    <row r="25" spans="1:10">
      <c r="A25" s="479" t="s">
        <v>355</v>
      </c>
      <c r="B25" s="507"/>
      <c r="C25" s="218"/>
      <c r="D25" s="218"/>
      <c r="E25" s="218"/>
      <c r="F25" s="218"/>
      <c r="G25" s="218"/>
      <c r="H25" s="218"/>
      <c r="I25" s="151"/>
      <c r="J25" s="151"/>
    </row>
    <row r="26" spans="1:10">
      <c r="A26" s="102" t="s">
        <v>356</v>
      </c>
      <c r="B26" s="124"/>
      <c r="C26" s="108">
        <f>+Financiamento!C15</f>
        <v>0</v>
      </c>
      <c r="D26" s="108">
        <f>+C26+Financiamento!D15</f>
        <v>0</v>
      </c>
      <c r="E26" s="108">
        <f>+D26+Financiamento!E15</f>
        <v>0</v>
      </c>
      <c r="F26" s="108">
        <f>+E26+Financiamento!F15</f>
        <v>0</v>
      </c>
      <c r="G26" s="108">
        <f>+F26+Financiamento!G15</f>
        <v>0</v>
      </c>
      <c r="H26" s="108">
        <f>+G26+Financiamento!H15</f>
        <v>0</v>
      </c>
      <c r="I26" s="151"/>
      <c r="J26" s="151"/>
    </row>
    <row r="27" spans="1:10">
      <c r="A27" s="102" t="s">
        <v>357</v>
      </c>
      <c r="B27" s="124"/>
      <c r="C27" s="108"/>
      <c r="D27" s="108"/>
      <c r="E27" s="108"/>
      <c r="F27" s="108"/>
      <c r="G27" s="108"/>
      <c r="H27" s="108"/>
      <c r="I27" s="151"/>
      <c r="J27" s="151"/>
    </row>
    <row r="28" spans="1:10">
      <c r="A28" s="102" t="s">
        <v>358</v>
      </c>
      <c r="B28" s="124"/>
      <c r="C28" s="108">
        <f>+Financiamento!C16</f>
        <v>0</v>
      </c>
      <c r="D28" s="108">
        <f>+C28+Financiamento!D16</f>
        <v>0</v>
      </c>
      <c r="E28" s="108">
        <f>+D28+Financiamento!E16</f>
        <v>0</v>
      </c>
      <c r="F28" s="108">
        <f>+E28+Financiamento!F16</f>
        <v>0</v>
      </c>
      <c r="G28" s="108">
        <f>+F28+Financiamento!G16</f>
        <v>0</v>
      </c>
      <c r="H28" s="108">
        <f>+G28+Financiamento!H16</f>
        <v>0</v>
      </c>
      <c r="I28" s="151"/>
      <c r="J28" s="151"/>
    </row>
    <row r="29" spans="1:10">
      <c r="A29" s="102" t="s">
        <v>359</v>
      </c>
      <c r="B29" s="124"/>
      <c r="C29" s="108"/>
      <c r="D29" s="108">
        <f>+C32-PlanoFinanceiro!D22</f>
        <v>-5845.8488888888887</v>
      </c>
      <c r="E29" s="108">
        <f>+D29+D32-PlanoFinanceiro!E22</f>
        <v>-40174.938888888893</v>
      </c>
      <c r="F29" s="108">
        <f>+E29+E32-PlanoFinanceiro!F22</f>
        <v>-65153.237138888893</v>
      </c>
      <c r="G29" s="108">
        <f>+F29+F32-PlanoFinanceiro!G22</f>
        <v>-66126.439634633338</v>
      </c>
      <c r="H29" s="108">
        <f>+G29+G32-PlanoFinanceiro!H22</f>
        <v>-14815.708164563584</v>
      </c>
      <c r="I29" s="151"/>
      <c r="J29" s="151"/>
    </row>
    <row r="30" spans="1:10">
      <c r="A30" s="102" t="s">
        <v>360</v>
      </c>
      <c r="B30" s="124"/>
      <c r="C30" s="108"/>
      <c r="D30" s="108"/>
      <c r="E30" s="108"/>
      <c r="F30" s="108"/>
      <c r="G30" s="108"/>
      <c r="H30" s="108"/>
      <c r="I30" s="151"/>
      <c r="J30" s="151"/>
    </row>
    <row r="31" spans="1:10">
      <c r="A31" s="102" t="s">
        <v>361</v>
      </c>
      <c r="B31" s="124"/>
      <c r="C31" s="108">
        <f>+Financiamento!C19</f>
        <v>0</v>
      </c>
      <c r="D31" s="108">
        <f>+C31+Financiamento!D19</f>
        <v>0</v>
      </c>
      <c r="E31" s="108">
        <f>+D31+Financiamento!E19</f>
        <v>0</v>
      </c>
      <c r="F31" s="108">
        <f>+E31+Financiamento!F19</f>
        <v>0</v>
      </c>
      <c r="G31" s="108">
        <f>+F31+Financiamento!G19</f>
        <v>0</v>
      </c>
      <c r="H31" s="108">
        <f>+G31+Financiamento!H19</f>
        <v>0</v>
      </c>
      <c r="I31" s="151"/>
      <c r="J31" s="151"/>
    </row>
    <row r="32" spans="1:10">
      <c r="A32" s="102" t="s">
        <v>362</v>
      </c>
      <c r="B32" s="124"/>
      <c r="C32" s="108">
        <f>+DR!B31</f>
        <v>-5845.8488888888887</v>
      </c>
      <c r="D32" s="108">
        <f>+DR!C31</f>
        <v>-34329.090000000004</v>
      </c>
      <c r="E32" s="108">
        <f>+DR!D31</f>
        <v>-24978.29825</v>
      </c>
      <c r="F32" s="108">
        <f>+DR!E31</f>
        <v>-973.20249574444074</v>
      </c>
      <c r="G32" s="108">
        <f>+DR!F31</f>
        <v>51310.731470069753</v>
      </c>
      <c r="H32" s="108">
        <f>+DR!G31</f>
        <v>101648.00436119171</v>
      </c>
      <c r="I32" s="151"/>
      <c r="J32" s="151"/>
    </row>
    <row r="33" spans="1:10" ht="13.5" thickBot="1">
      <c r="A33" s="466" t="s">
        <v>363</v>
      </c>
      <c r="B33" s="468"/>
      <c r="C33" s="283">
        <f t="shared" ref="C33:H33" si="3">SUM(C26:C32)</f>
        <v>-5845.8488888888887</v>
      </c>
      <c r="D33" s="283">
        <f t="shared" si="3"/>
        <v>-40174.938888888893</v>
      </c>
      <c r="E33" s="283">
        <f t="shared" si="3"/>
        <v>-65153.237138888893</v>
      </c>
      <c r="F33" s="283">
        <f t="shared" si="3"/>
        <v>-66126.439634633338</v>
      </c>
      <c r="G33" s="283">
        <f t="shared" si="3"/>
        <v>-14815.708164563584</v>
      </c>
      <c r="H33" s="283">
        <f t="shared" si="3"/>
        <v>86832.296196628129</v>
      </c>
      <c r="I33" s="151"/>
      <c r="J33" s="151"/>
    </row>
    <row r="34" spans="1:10" ht="13.5" thickTop="1">
      <c r="A34" s="57"/>
      <c r="B34" s="57"/>
      <c r="C34" s="117"/>
      <c r="D34" s="117"/>
      <c r="E34" s="117"/>
      <c r="F34" s="117"/>
      <c r="G34" s="117"/>
      <c r="H34" s="117"/>
      <c r="I34" s="151"/>
      <c r="J34" s="151"/>
    </row>
    <row r="35" spans="1:10">
      <c r="A35" s="508" t="s">
        <v>364</v>
      </c>
      <c r="B35" s="509"/>
      <c r="C35" s="281"/>
      <c r="D35" s="281"/>
      <c r="E35" s="281"/>
      <c r="F35" s="281"/>
      <c r="G35" s="281"/>
      <c r="H35" s="281"/>
      <c r="I35" s="151"/>
      <c r="J35" s="151"/>
    </row>
    <row r="36" spans="1:10">
      <c r="A36" s="91"/>
      <c r="B36" s="124"/>
      <c r="C36" s="282"/>
      <c r="D36" s="282"/>
      <c r="E36" s="282"/>
      <c r="F36" s="282"/>
      <c r="G36" s="282"/>
      <c r="H36" s="282"/>
      <c r="I36" s="151"/>
      <c r="J36" s="151"/>
    </row>
    <row r="37" spans="1:10">
      <c r="A37" s="91" t="s">
        <v>365</v>
      </c>
      <c r="B37" s="124"/>
      <c r="C37" s="139">
        <f t="shared" ref="C37:H37" si="4">SUM(C38:C40)</f>
        <v>10000</v>
      </c>
      <c r="D37" s="139">
        <f t="shared" si="4"/>
        <v>10000</v>
      </c>
      <c r="E37" s="139">
        <f t="shared" si="4"/>
        <v>8333.3333333333339</v>
      </c>
      <c r="F37" s="139">
        <f t="shared" si="4"/>
        <v>6666.666666666667</v>
      </c>
      <c r="G37" s="139">
        <f t="shared" si="4"/>
        <v>5000</v>
      </c>
      <c r="H37" s="139">
        <f t="shared" si="4"/>
        <v>3333.333333333333</v>
      </c>
      <c r="I37" s="151"/>
      <c r="J37" s="151"/>
    </row>
    <row r="38" spans="1:10">
      <c r="A38" s="58" t="s">
        <v>366</v>
      </c>
      <c r="B38" s="124"/>
      <c r="C38" s="108"/>
      <c r="D38" s="108"/>
      <c r="E38" s="108"/>
      <c r="F38" s="108"/>
      <c r="G38" s="108"/>
      <c r="H38" s="108"/>
      <c r="I38" s="151"/>
      <c r="J38" s="151"/>
    </row>
    <row r="39" spans="1:10">
      <c r="A39" s="58" t="s">
        <v>367</v>
      </c>
      <c r="B39" s="124"/>
      <c r="C39" s="108">
        <f>+Financiamento!C101</f>
        <v>10000</v>
      </c>
      <c r="D39" s="108">
        <f>+Financiamento!D101</f>
        <v>10000</v>
      </c>
      <c r="E39" s="108">
        <f>+Financiamento!E101</f>
        <v>8333.3333333333339</v>
      </c>
      <c r="F39" s="108">
        <f>+Financiamento!F101</f>
        <v>6666.666666666667</v>
      </c>
      <c r="G39" s="108">
        <f>+Financiamento!G101</f>
        <v>5000</v>
      </c>
      <c r="H39" s="108">
        <f>+Financiamento!H101</f>
        <v>3333.333333333333</v>
      </c>
      <c r="I39" s="151"/>
      <c r="J39" s="151"/>
    </row>
    <row r="40" spans="1:10">
      <c r="A40" s="58" t="s">
        <v>368</v>
      </c>
      <c r="B40" s="124"/>
      <c r="C40" s="220"/>
      <c r="D40" s="220"/>
      <c r="E40" s="220"/>
      <c r="F40" s="220"/>
      <c r="G40" s="220"/>
      <c r="H40" s="220"/>
      <c r="I40" s="151"/>
      <c r="J40" s="151"/>
    </row>
    <row r="41" spans="1:10">
      <c r="A41" s="58"/>
      <c r="B41" s="124"/>
      <c r="C41" s="220"/>
      <c r="D41" s="220"/>
      <c r="E41" s="220"/>
      <c r="F41" s="220"/>
      <c r="G41" s="220"/>
      <c r="H41" s="220"/>
      <c r="I41" s="151"/>
      <c r="J41" s="151"/>
    </row>
    <row r="42" spans="1:10">
      <c r="A42" s="91" t="s">
        <v>369</v>
      </c>
      <c r="B42" s="124"/>
      <c r="C42" s="322">
        <f t="shared" ref="C42:H42" si="5">SUM(C43:C47)</f>
        <v>7804.6145833333339</v>
      </c>
      <c r="D42" s="322">
        <f t="shared" si="5"/>
        <v>13914.952166666666</v>
      </c>
      <c r="E42" s="322">
        <f t="shared" si="5"/>
        <v>19859.66002333333</v>
      </c>
      <c r="F42" s="322">
        <f t="shared" si="5"/>
        <v>32300.989941033331</v>
      </c>
      <c r="G42" s="322">
        <f t="shared" si="5"/>
        <v>57070.365099892661</v>
      </c>
      <c r="H42" s="322">
        <f t="shared" si="5"/>
        <v>123222.03571130696</v>
      </c>
      <c r="I42" s="151"/>
      <c r="J42" s="151"/>
    </row>
    <row r="43" spans="1:10">
      <c r="A43" s="58" t="s">
        <v>208</v>
      </c>
      <c r="B43" s="124"/>
      <c r="C43" s="220">
        <f>+FundoManeio!C17</f>
        <v>2390.03125</v>
      </c>
      <c r="D43" s="220">
        <f>+FundoManeio!D17</f>
        <v>7188.8947499999995</v>
      </c>
      <c r="E43" s="220">
        <f>+FundoManeio!E17</f>
        <v>12869.641904999999</v>
      </c>
      <c r="F43" s="220">
        <f>+FundoManeio!F17</f>
        <v>24775.435097399997</v>
      </c>
      <c r="G43" s="220">
        <f>+FundoManeio!G17</f>
        <v>48818.292814024499</v>
      </c>
      <c r="H43" s="220">
        <f>+FundoManeio!H17</f>
        <v>84732.753222878149</v>
      </c>
      <c r="I43" s="151"/>
      <c r="J43" s="151"/>
    </row>
    <row r="44" spans="1:10">
      <c r="A44" s="58" t="s">
        <v>349</v>
      </c>
      <c r="B44" s="124"/>
      <c r="C44" s="220">
        <f>+FundoManeio!C18+DR!B30</f>
        <v>414.58333333333337</v>
      </c>
      <c r="D44" s="220">
        <f>+FundoManeio!D18+DR!C30</f>
        <v>1726.0574166666665</v>
      </c>
      <c r="E44" s="220">
        <f>+FundoManeio!E18+DR!D30</f>
        <v>1990.0181183333334</v>
      </c>
      <c r="F44" s="220">
        <f>+FundoManeio!F18+DR!E30</f>
        <v>2525.5548436333338</v>
      </c>
      <c r="G44" s="220">
        <f>+FundoManeio!G18+DR!F30</f>
        <v>3252.0722858681656</v>
      </c>
      <c r="H44" s="220">
        <f>+FundoManeio!H18+DR!G30</f>
        <v>33489.282488428813</v>
      </c>
      <c r="I44" s="151"/>
      <c r="J44" s="151"/>
    </row>
    <row r="45" spans="1:10">
      <c r="A45" s="58" t="s">
        <v>350</v>
      </c>
      <c r="B45" s="124"/>
      <c r="C45" s="220">
        <f>+Financiamento!C17</f>
        <v>5000</v>
      </c>
      <c r="D45" s="220">
        <f>+C45+Financiamento!D17</f>
        <v>5000</v>
      </c>
      <c r="E45" s="220">
        <f>+D45+Financiamento!E17</f>
        <v>5000</v>
      </c>
      <c r="F45" s="220">
        <f>+E45+Financiamento!F17</f>
        <v>5000</v>
      </c>
      <c r="G45" s="220">
        <f>+F45+Financiamento!G17</f>
        <v>5000</v>
      </c>
      <c r="H45" s="220">
        <f>+G45+Financiamento!H17</f>
        <v>5000</v>
      </c>
      <c r="I45" s="151"/>
      <c r="J45" s="151"/>
    </row>
    <row r="46" spans="1:10">
      <c r="A46" s="58" t="s">
        <v>370</v>
      </c>
      <c r="B46" s="124"/>
      <c r="C46" s="220">
        <f>+IF(PlanoFinanceiro!C29&lt;0,-PlanoFinanceiro!C29,0)</f>
        <v>0</v>
      </c>
      <c r="D46" s="220">
        <f>+IF(PlanoFinanceiro!D29&lt;0,-PlanoFinanceiro!D29,0)</f>
        <v>0</v>
      </c>
      <c r="E46" s="220">
        <f>+IF(PlanoFinanceiro!E29&lt;0,-PlanoFinanceiro!E29,0)</f>
        <v>0</v>
      </c>
      <c r="F46" s="220">
        <f>+IF(PlanoFinanceiro!F29&lt;0,-PlanoFinanceiro!F29,0)</f>
        <v>0</v>
      </c>
      <c r="G46" s="220">
        <f>+IF(PlanoFinanceiro!G29&lt;0,-PlanoFinanceiro!G29,0)</f>
        <v>0</v>
      </c>
      <c r="H46" s="220">
        <f>+IF(PlanoFinanceiro!H29&lt;0,-PlanoFinanceiro!H29,0)</f>
        <v>0</v>
      </c>
      <c r="I46" s="151"/>
      <c r="J46" s="151"/>
    </row>
    <row r="47" spans="1:10">
      <c r="A47" s="58" t="s">
        <v>371</v>
      </c>
      <c r="B47" s="124"/>
      <c r="C47" s="220"/>
      <c r="D47" s="220"/>
      <c r="E47" s="220"/>
      <c r="F47" s="220"/>
      <c r="G47" s="220"/>
      <c r="H47" s="220"/>
      <c r="I47" s="151"/>
      <c r="J47" s="151"/>
    </row>
    <row r="48" spans="1:10">
      <c r="A48" s="91"/>
      <c r="B48" s="124"/>
      <c r="C48" s="220"/>
      <c r="D48" s="220"/>
      <c r="E48" s="220"/>
      <c r="F48" s="220"/>
      <c r="G48" s="220"/>
      <c r="H48" s="220"/>
      <c r="I48" s="151"/>
      <c r="J48" s="151"/>
    </row>
    <row r="49" spans="1:10" ht="13.5" thickBot="1">
      <c r="A49" s="466" t="s">
        <v>372</v>
      </c>
      <c r="B49" s="468"/>
      <c r="C49" s="283">
        <f t="shared" ref="C49:H49" si="6">+C42+C37</f>
        <v>17804.614583333336</v>
      </c>
      <c r="D49" s="283">
        <f t="shared" si="6"/>
        <v>23914.952166666666</v>
      </c>
      <c r="E49" s="283">
        <f t="shared" si="6"/>
        <v>28192.993356666666</v>
      </c>
      <c r="F49" s="283">
        <f t="shared" si="6"/>
        <v>38967.656607699995</v>
      </c>
      <c r="G49" s="283">
        <f t="shared" si="6"/>
        <v>62070.365099892661</v>
      </c>
      <c r="H49" s="283">
        <f t="shared" si="6"/>
        <v>126555.36904464029</v>
      </c>
      <c r="I49" s="151"/>
      <c r="J49" s="151"/>
    </row>
    <row r="50" spans="1:10" ht="13.5" thickTop="1">
      <c r="A50" s="112"/>
      <c r="B50" s="112"/>
      <c r="C50" s="117"/>
      <c r="D50" s="57"/>
      <c r="E50" s="57"/>
      <c r="F50" s="57"/>
      <c r="G50" s="57"/>
      <c r="H50" s="57"/>
      <c r="I50" s="151"/>
      <c r="J50" s="151"/>
    </row>
    <row r="51" spans="1:10" ht="13.5" thickBot="1">
      <c r="A51" s="467" t="s">
        <v>373</v>
      </c>
      <c r="B51" s="467"/>
      <c r="C51" s="34">
        <f t="shared" ref="C51:H51" si="7">+C49+C33</f>
        <v>11958.765694444446</v>
      </c>
      <c r="D51" s="34">
        <f t="shared" si="7"/>
        <v>-16259.986722222227</v>
      </c>
      <c r="E51" s="34">
        <f t="shared" si="7"/>
        <v>-36960.243782222227</v>
      </c>
      <c r="F51" s="34">
        <f t="shared" si="7"/>
        <v>-27158.783026933343</v>
      </c>
      <c r="G51" s="34">
        <f t="shared" si="7"/>
        <v>47254.656935329076</v>
      </c>
      <c r="H51" s="34">
        <f t="shared" si="7"/>
        <v>213387.66524126841</v>
      </c>
      <c r="I51" s="151"/>
      <c r="J51" s="151"/>
    </row>
    <row r="52" spans="1:10" ht="13.5" thickTop="1">
      <c r="C52" s="221"/>
      <c r="D52" s="221"/>
      <c r="E52" s="221"/>
      <c r="F52" s="221"/>
      <c r="G52" s="221"/>
      <c r="H52" s="221"/>
    </row>
    <row r="53" spans="1:10">
      <c r="C53" s="249">
        <f t="shared" ref="C53:H53" si="8">+C23-C51</f>
        <v>7634.8958333333321</v>
      </c>
      <c r="D53" s="249">
        <f t="shared" si="8"/>
        <v>38176.339500000002</v>
      </c>
      <c r="E53" s="249">
        <f t="shared" si="8"/>
        <v>66837.969184999994</v>
      </c>
      <c r="F53" s="249">
        <f t="shared" si="8"/>
        <v>70914.591239383328</v>
      </c>
      <c r="G53" s="249">
        <f t="shared" si="8"/>
        <v>26334.166824961423</v>
      </c>
      <c r="H53" s="249">
        <f t="shared" si="8"/>
        <v>-92408.186450061999</v>
      </c>
    </row>
    <row r="54" spans="1:10">
      <c r="C54" s="221"/>
      <c r="D54" s="223">
        <f>+D53-C53</f>
        <v>30541.44366666667</v>
      </c>
      <c r="E54" s="223">
        <f>+E53-D53</f>
        <v>28661.629684999993</v>
      </c>
      <c r="F54" s="223">
        <f>+F53-E53</f>
        <v>4076.6220543833333</v>
      </c>
      <c r="G54" s="223">
        <f>+G53-F53</f>
        <v>-44580.424414421905</v>
      </c>
      <c r="H54" s="223">
        <f>+H53-G53</f>
        <v>-118742.35327502343</v>
      </c>
    </row>
    <row r="55" spans="1:10">
      <c r="C55" s="221"/>
      <c r="D55" s="221"/>
      <c r="E55" s="221"/>
      <c r="F55" s="221"/>
      <c r="G55" s="221"/>
      <c r="H55" s="221"/>
    </row>
    <row r="56" spans="1:10">
      <c r="C56" s="221"/>
      <c r="D56" s="222"/>
      <c r="E56" s="224"/>
      <c r="F56" s="224"/>
      <c r="G56" s="221"/>
      <c r="H56" s="221"/>
    </row>
    <row r="57" spans="1:10">
      <c r="C57" s="217"/>
      <c r="D57" s="217"/>
      <c r="E57" s="217"/>
      <c r="F57" s="217"/>
      <c r="G57" s="217"/>
      <c r="H57" s="217"/>
    </row>
    <row r="58" spans="1:10">
      <c r="C58" s="217"/>
      <c r="D58" s="217"/>
      <c r="E58" s="217"/>
      <c r="F58" s="217"/>
      <c r="G58" s="217"/>
      <c r="H58" s="217"/>
    </row>
    <row r="59" spans="1:10">
      <c r="C59" s="217"/>
      <c r="D59" s="217"/>
      <c r="E59" s="217"/>
      <c r="F59" s="217"/>
      <c r="G59" s="217"/>
      <c r="H59" s="217"/>
    </row>
  </sheetData>
  <sheetProtection password="8318" sheet="1"/>
  <mergeCells count="8">
    <mergeCell ref="A51:B51"/>
    <mergeCell ref="A33:B33"/>
    <mergeCell ref="A4:H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0DD14-FE20-4D0D-A366-E19D9EA2A1F8}">
  <sheetPr codeName="Sheet11">
    <pageSetUpPr fitToPage="1"/>
  </sheetPr>
  <dimension ref="A1:G28"/>
  <sheetViews>
    <sheetView showGridLines="0" topLeftCell="A21" workbookViewId="0">
      <selection activeCell="A36" sqref="A36"/>
    </sheetView>
  </sheetViews>
  <sheetFormatPr defaultColWidth="8.7109375" defaultRowHeight="12.75"/>
  <cols>
    <col min="1" max="1" width="42.85546875" style="67" bestFit="1" customWidth="1"/>
    <col min="2" max="11" width="11.42578125" style="67" customWidth="1"/>
    <col min="12" max="16384" width="8.7109375" style="67"/>
  </cols>
  <sheetData>
    <row r="1" spans="1:7" ht="13.5">
      <c r="A1" s="57"/>
      <c r="B1" s="57"/>
      <c r="C1" s="51"/>
      <c r="D1" s="51"/>
      <c r="E1" s="51"/>
      <c r="F1" s="48" t="str">
        <f>+VN!G1</f>
        <v>Empresa:</v>
      </c>
      <c r="G1" s="89" t="str">
        <f>+Pressupostos!E1</f>
        <v>WAITR</v>
      </c>
    </row>
    <row r="2" spans="1:7">
      <c r="A2" s="57"/>
      <c r="B2" s="57"/>
      <c r="C2" s="57"/>
      <c r="D2" s="57"/>
      <c r="E2" s="57"/>
      <c r="F2" s="57"/>
      <c r="G2" s="57"/>
    </row>
    <row r="3" spans="1:7">
      <c r="A3" s="57"/>
      <c r="B3" s="57"/>
      <c r="C3" s="57"/>
      <c r="D3" s="57"/>
      <c r="E3" s="57"/>
      <c r="F3" s="57"/>
      <c r="G3" s="57"/>
    </row>
    <row r="4" spans="1:7" ht="15.75">
      <c r="A4" s="457" t="s">
        <v>374</v>
      </c>
      <c r="B4" s="457"/>
      <c r="C4" s="457"/>
      <c r="D4" s="457"/>
      <c r="E4" s="457"/>
      <c r="F4" s="457"/>
      <c r="G4" s="457"/>
    </row>
    <row r="5" spans="1:7" ht="13.5" thickBot="1">
      <c r="A5" s="57"/>
      <c r="B5" s="57"/>
      <c r="C5" s="57"/>
      <c r="D5" s="57"/>
      <c r="E5" s="57"/>
      <c r="F5" s="57"/>
      <c r="G5" s="57"/>
    </row>
    <row r="6" spans="1:7" ht="13.5" thickBot="1">
      <c r="A6" s="324" t="s">
        <v>375</v>
      </c>
      <c r="B6" s="325">
        <f>+VN!C8</f>
        <v>2024</v>
      </c>
      <c r="C6" s="325">
        <f>+VN!D8</f>
        <v>2025</v>
      </c>
      <c r="D6" s="325">
        <f>+VN!E8</f>
        <v>2026</v>
      </c>
      <c r="E6" s="325">
        <f>+VN!F8</f>
        <v>2027</v>
      </c>
      <c r="F6" s="325">
        <f>+VN!G8</f>
        <v>2028</v>
      </c>
      <c r="G6" s="326">
        <f>+VN!H8</f>
        <v>2029</v>
      </c>
    </row>
    <row r="7" spans="1:7">
      <c r="A7" s="339" t="s">
        <v>376</v>
      </c>
      <c r="B7" s="180"/>
      <c r="C7" s="180">
        <f>+(DR!C8/DR!B8)-1</f>
        <v>2.0674603174603177</v>
      </c>
      <c r="D7" s="180">
        <f>+(DR!D8/DR!C8)-1</f>
        <v>0.99273350582147457</v>
      </c>
      <c r="E7" s="180">
        <f>+(DR!E8/DR!D8)-1</f>
        <v>1.0367933104948577</v>
      </c>
      <c r="F7" s="180">
        <f>+(DR!F8/DR!E8)-1</f>
        <v>1.0607352021979666</v>
      </c>
      <c r="G7" s="328">
        <f>+(DR!G8/DR!F8)-1</f>
        <v>0.76772704718589635</v>
      </c>
    </row>
    <row r="8" spans="1:7" ht="13.5" thickBot="1">
      <c r="A8" s="339" t="s">
        <v>377</v>
      </c>
      <c r="B8" s="329">
        <f>DR!B31/DR!B8</f>
        <v>-0.23197813051146385</v>
      </c>
      <c r="C8" s="329">
        <f>DR!C31/DR!C8</f>
        <v>-0.44410206985769735</v>
      </c>
      <c r="D8" s="329">
        <f>DR!D31/DR!D8</f>
        <v>-0.1621564133725184</v>
      </c>
      <c r="E8" s="329">
        <f>DR!E31/DR!E8</f>
        <v>-3.1018981733663999E-3</v>
      </c>
      <c r="F8" s="329">
        <f>DR!F31/DR!F8</f>
        <v>7.9361586110214585E-2</v>
      </c>
      <c r="G8" s="330">
        <f>DR!G31/DR!G8</f>
        <v>8.8937677221798642E-2</v>
      </c>
    </row>
    <row r="9" spans="1:7" ht="13.5" thickBot="1">
      <c r="A9" s="57"/>
      <c r="B9" s="57"/>
      <c r="C9" s="57"/>
      <c r="D9" s="57"/>
      <c r="E9" s="57"/>
      <c r="F9" s="57"/>
      <c r="G9" s="57"/>
    </row>
    <row r="10" spans="1:7" ht="13.5" thickBot="1">
      <c r="A10" s="324" t="s">
        <v>378</v>
      </c>
      <c r="B10" s="325">
        <f t="shared" ref="B10:G10" si="0">+B6</f>
        <v>2024</v>
      </c>
      <c r="C10" s="325">
        <f t="shared" si="0"/>
        <v>2025</v>
      </c>
      <c r="D10" s="325">
        <f t="shared" si="0"/>
        <v>2026</v>
      </c>
      <c r="E10" s="325">
        <f t="shared" si="0"/>
        <v>2027</v>
      </c>
      <c r="F10" s="325">
        <f t="shared" si="0"/>
        <v>2028</v>
      </c>
      <c r="G10" s="326">
        <f t="shared" si="0"/>
        <v>2029</v>
      </c>
    </row>
    <row r="11" spans="1:7">
      <c r="A11" s="339" t="s">
        <v>379</v>
      </c>
      <c r="B11" s="180">
        <f>DR!B31/Balanço!C23</f>
        <v>-0.29835408152791021</v>
      </c>
      <c r="C11" s="180">
        <f>DR!C31/Balanço!D23</f>
        <v>-1.5663687452050963</v>
      </c>
      <c r="D11" s="180">
        <f>DR!D31/Balanço!E23</f>
        <v>-0.83601739802045749</v>
      </c>
      <c r="E11" s="180">
        <f>DR!E31/Balanço!F23</f>
        <v>-2.224167568838397E-2</v>
      </c>
      <c r="F11" s="180">
        <f>DR!F31/Balanço!G23</f>
        <v>0.69726255765699163</v>
      </c>
      <c r="G11" s="328">
        <f>DR!G31/Balanço!H23</f>
        <v>0.84020864841566967</v>
      </c>
    </row>
    <row r="12" spans="1:7">
      <c r="A12" s="339" t="s">
        <v>380</v>
      </c>
      <c r="B12" s="180">
        <f>+DR!B26/Balanço!C23</f>
        <v>-0.29301647103662626</v>
      </c>
      <c r="C12" s="180">
        <f>+DR!C26/Balanço!D23</f>
        <v>-1.5549161096984028</v>
      </c>
      <c r="D12" s="180">
        <f>+DR!D26/Balanço!E23</f>
        <v>-0.82761649076877408</v>
      </c>
      <c r="E12" s="180">
        <f>+DR!E26/Balanço!F23</f>
        <v>-1.7461357938313209E-2</v>
      </c>
      <c r="F12" s="180">
        <f>+DR!F26/Balanço!G23</f>
        <v>0.69953645367520245</v>
      </c>
      <c r="G12" s="328">
        <f>+DR!G26/Balanço!H23</f>
        <v>1.0804940176589892</v>
      </c>
    </row>
    <row r="13" spans="1:7">
      <c r="A13" s="339" t="s">
        <v>381</v>
      </c>
      <c r="B13" s="180">
        <f>DR!B8/Balanço!C23</f>
        <v>1.2861302092145543</v>
      </c>
      <c r="C13" s="180">
        <f>DR!C8/Balanço!D23</f>
        <v>3.5270467118223618</v>
      </c>
      <c r="D13" s="180">
        <f>DR!D8/Balanço!E23</f>
        <v>5.1556233924580761</v>
      </c>
      <c r="E13" s="180">
        <f>DR!E8/Balanço!F23</f>
        <v>7.1703435913390186</v>
      </c>
      <c r="F13" s="180">
        <f>DR!F8/Balanço!G23</f>
        <v>8.7858949377430271</v>
      </c>
      <c r="G13" s="328">
        <f>DR!G8/Balanço!H23</f>
        <v>9.4471620426998779</v>
      </c>
    </row>
    <row r="14" spans="1:7" ht="13.5" thickBot="1">
      <c r="A14" s="339" t="s">
        <v>382</v>
      </c>
      <c r="B14" s="329">
        <f>+DR!B31/Balanço!C33</f>
        <v>1</v>
      </c>
      <c r="C14" s="329">
        <f>+DR!C31/Balanço!D33</f>
        <v>0.85449016101663156</v>
      </c>
      <c r="D14" s="329">
        <f>+DR!D31/Balanço!E33</f>
        <v>0.38337770073884581</v>
      </c>
      <c r="E14" s="329">
        <f>+DR!E31/Balanço!F33</f>
        <v>1.47172976667374E-2</v>
      </c>
      <c r="F14" s="329">
        <f>+DR!F31/Balanço!G33</f>
        <v>-3.4632655354804753</v>
      </c>
      <c r="G14" s="330">
        <f>+DR!G31/Balanço!H33</f>
        <v>1.1706243968374856</v>
      </c>
    </row>
    <row r="15" spans="1:7" ht="13.5" thickBot="1">
      <c r="A15" s="57"/>
      <c r="B15" s="57"/>
      <c r="C15" s="57"/>
      <c r="D15" s="57"/>
      <c r="E15" s="57"/>
      <c r="F15" s="57"/>
      <c r="G15" s="57"/>
    </row>
    <row r="16" spans="1:7" ht="13.5" thickBot="1">
      <c r="A16" s="324" t="s">
        <v>383</v>
      </c>
      <c r="B16" s="334">
        <f t="shared" ref="B16:G16" si="1">+B6</f>
        <v>2024</v>
      </c>
      <c r="C16" s="334">
        <f t="shared" si="1"/>
        <v>2025</v>
      </c>
      <c r="D16" s="334">
        <f t="shared" si="1"/>
        <v>2026</v>
      </c>
      <c r="E16" s="334">
        <f t="shared" si="1"/>
        <v>2027</v>
      </c>
      <c r="F16" s="334">
        <f t="shared" si="1"/>
        <v>2028</v>
      </c>
      <c r="G16" s="335">
        <f t="shared" si="1"/>
        <v>2029</v>
      </c>
    </row>
    <row r="17" spans="1:7">
      <c r="A17" s="339" t="s">
        <v>384</v>
      </c>
      <c r="B17" s="180">
        <f>Balanço!C33/Balanço!C23</f>
        <v>-0.29835408152791021</v>
      </c>
      <c r="C17" s="180">
        <f>Balanço!D33/Balanço!D23</f>
        <v>-1.833103313139973</v>
      </c>
      <c r="D17" s="180">
        <f>Balanço!E33/Balanço!E23</f>
        <v>-2.1806625591662847</v>
      </c>
      <c r="E17" s="180">
        <f>Balanço!F33/Balanço!F23</f>
        <v>-1.5112608436705359</v>
      </c>
      <c r="F17" s="180">
        <f>Balanço!G33/Balanço!G23</f>
        <v>-0.2013309549942601</v>
      </c>
      <c r="G17" s="336">
        <f>Balanço!H33/Balanço!H23</f>
        <v>0.71774400968025731</v>
      </c>
    </row>
    <row r="18" spans="1:7">
      <c r="A18" s="339" t="s">
        <v>385</v>
      </c>
      <c r="B18" s="180">
        <f>Balanço!C23/Balanço!C49</f>
        <v>1.1004822056703853</v>
      </c>
      <c r="C18" s="180">
        <f>Balanço!D23/Balanço!D49</f>
        <v>0.91642887784343585</v>
      </c>
      <c r="D18" s="180">
        <f>Balanço!E23/Balanço!E49</f>
        <v>1.0597571185435237</v>
      </c>
      <c r="E18" s="180">
        <f>Balanço!F23/Balanço!F49</f>
        <v>1.1228750205062077</v>
      </c>
      <c r="F18" s="180">
        <f>Balanço!G23/Balanço!G49</f>
        <v>1.1855709828975656</v>
      </c>
      <c r="G18" s="336">
        <f>Balanço!H23/Balanço!H49</f>
        <v>0.95594110075672034</v>
      </c>
    </row>
    <row r="19" spans="1:7" ht="13.5" thickBot="1">
      <c r="A19" s="339" t="s">
        <v>386</v>
      </c>
      <c r="B19" s="337">
        <f>+DR!B26/DR!B28</f>
        <v>-54.89656308100929</v>
      </c>
      <c r="C19" s="337">
        <f>+DR!C26/DR!C28</f>
        <v>-135.76928286852592</v>
      </c>
      <c r="D19" s="337">
        <f>+DR!D26/DR!D28</f>
        <v>-98.515132470119525</v>
      </c>
      <c r="E19" s="337">
        <f>+DR!E26/DR!E28</f>
        <v>-3.6527609358299942</v>
      </c>
      <c r="F19" s="337">
        <f>+DR!F26/DR!F28</f>
        <v>307.6378374705364</v>
      </c>
      <c r="G19" s="338">
        <f>+DR!G26/DR!G28</f>
        <v>1041.5745266406461</v>
      </c>
    </row>
    <row r="20" spans="1:7" ht="13.5" thickBot="1">
      <c r="A20" s="57"/>
      <c r="B20" s="57"/>
      <c r="C20" s="57"/>
      <c r="D20" s="57"/>
      <c r="E20" s="57"/>
      <c r="F20" s="57"/>
      <c r="G20" s="57"/>
    </row>
    <row r="21" spans="1:7" ht="13.5" thickBot="1">
      <c r="A21" s="324" t="s">
        <v>387</v>
      </c>
      <c r="B21" s="325">
        <f t="shared" ref="B21:G21" si="2">+B6</f>
        <v>2024</v>
      </c>
      <c r="C21" s="325">
        <f t="shared" si="2"/>
        <v>2025</v>
      </c>
      <c r="D21" s="325">
        <f t="shared" si="2"/>
        <v>2026</v>
      </c>
      <c r="E21" s="325">
        <f t="shared" si="2"/>
        <v>2027</v>
      </c>
      <c r="F21" s="325">
        <f t="shared" si="2"/>
        <v>2028</v>
      </c>
      <c r="G21" s="326">
        <f t="shared" si="2"/>
        <v>2029</v>
      </c>
    </row>
    <row r="22" spans="1:7">
      <c r="A22" s="339" t="s">
        <v>388</v>
      </c>
      <c r="B22" s="323">
        <f>Balanço!C15/Balanço!C42</f>
        <v>1.0462891745401692</v>
      </c>
      <c r="C22" s="323">
        <f>Balanço!D15/Balanço!D42</f>
        <v>1.0328368238611625</v>
      </c>
      <c r="D22" s="323">
        <f>Balanço!E15/Balanço!E42</f>
        <v>1.1123819641949773</v>
      </c>
      <c r="E22" s="323">
        <f>Balanço!F15/Balanço!F42</f>
        <v>1.1893833062882584</v>
      </c>
      <c r="F22" s="323">
        <f>Balanço!G15/Balanço!G42</f>
        <v>1.2592129669138152</v>
      </c>
      <c r="G22" s="331">
        <f>Balanço!H15/Balanço!H42</f>
        <v>0.97551049288643066</v>
      </c>
    </row>
    <row r="23" spans="1:7" ht="13.5" thickBot="1">
      <c r="A23" s="339" t="s">
        <v>389</v>
      </c>
      <c r="B23" s="332">
        <f>(Balanço!C17+Balanço!C18+Balanço!C19+Balanço!C20+Balanço!C21+Balanço!C22)/Balanço!C42</f>
        <v>0.93284133452030904</v>
      </c>
      <c r="C23" s="332">
        <f>(Balanço!D17+Balanço!D18+Balanço!D19+Balanço!D20+Balanço!D21+Balanço!D22)/Balanço!D42</f>
        <v>0.83812720736026491</v>
      </c>
      <c r="D23" s="332">
        <f>(Balanço!E17+Balanço!E18+Balanço!E19+Balanço!E20+Balanço!E21+Balanço!E22)/Balanço!E42</f>
        <v>0.84195824502304217</v>
      </c>
      <c r="E23" s="332">
        <f>(Balanço!F17+Balanço!F18+Balanço!F19+Balanço!F20+Balanço!F21+Balanço!F22)/Balanço!F42</f>
        <v>0.85063910599518322</v>
      </c>
      <c r="F23" s="332">
        <f>(Balanço!G17+Balanço!G18+Balanço!G19+Balanço!G20+Balanço!G21+Balanço!G22)/Balanço!G42</f>
        <v>0.86393913690891633</v>
      </c>
      <c r="G23" s="333">
        <f>(Balanço!H17+Balanço!H18+Balanço!H19+Balanço!H20+Balanço!H21+Balanço!H22)/Balanço!H42</f>
        <v>0.65253125210950114</v>
      </c>
    </row>
    <row r="24" spans="1:7" ht="13.5" thickBot="1">
      <c r="A24" s="57"/>
      <c r="B24" s="57"/>
      <c r="C24" s="57"/>
      <c r="D24" s="57"/>
      <c r="E24" s="57"/>
      <c r="F24" s="57"/>
      <c r="G24" s="57"/>
    </row>
    <row r="25" spans="1:7" ht="13.5" thickBot="1">
      <c r="A25" s="324" t="s">
        <v>390</v>
      </c>
      <c r="B25" s="325">
        <f t="shared" ref="B25:G25" si="3">+B6</f>
        <v>2024</v>
      </c>
      <c r="C25" s="325">
        <f t="shared" si="3"/>
        <v>2025</v>
      </c>
      <c r="D25" s="325">
        <f t="shared" si="3"/>
        <v>2026</v>
      </c>
      <c r="E25" s="325">
        <f t="shared" si="3"/>
        <v>2027</v>
      </c>
      <c r="F25" s="325">
        <f t="shared" si="3"/>
        <v>2028</v>
      </c>
      <c r="G25" s="326">
        <f t="shared" si="3"/>
        <v>2029</v>
      </c>
    </row>
    <row r="26" spans="1:7">
      <c r="A26" s="339" t="s">
        <v>108</v>
      </c>
      <c r="B26" s="211">
        <f>DR!B8-DR!B11-DR!B13-DR!B14</f>
        <v>1620.8333333333335</v>
      </c>
      <c r="C26" s="211">
        <f>DR!C8-DR!C11-DR!C13-DR!C14</f>
        <v>6517.2999999999993</v>
      </c>
      <c r="D26" s="211">
        <f>DR!D8-DR!D11-DR!D13-DR!D14</f>
        <v>19215.313999999995</v>
      </c>
      <c r="E26" s="211">
        <f>DR!E8-DR!E11-DR!E13-DR!E14</f>
        <v>45033.282919999998</v>
      </c>
      <c r="F26" s="211">
        <f>DR!F8-DR!F11-DR!F13-DR!F14</f>
        <v>98849.956874600088</v>
      </c>
      <c r="G26" s="327">
        <f>DR!G8-DR!G11-DR!G13-DR!G14</f>
        <v>181276.56892194806</v>
      </c>
    </row>
    <row r="27" spans="1:7">
      <c r="A27" s="339" t="s">
        <v>391</v>
      </c>
      <c r="B27" s="180">
        <f>+B26/DR!B26</f>
        <v>-0.28231290081416432</v>
      </c>
      <c r="C27" s="180">
        <f>+C26/DR!C26</f>
        <v>-0.19124604694687991</v>
      </c>
      <c r="D27" s="180">
        <f>+D26/DR!D26</f>
        <v>-0.77708910232439143</v>
      </c>
      <c r="E27" s="180">
        <f>+E26/DR!E26</f>
        <v>-58.941323438139307</v>
      </c>
      <c r="F27" s="180">
        <f>+F26/DR!F26</f>
        <v>1.9202345164316541</v>
      </c>
      <c r="G27" s="328">
        <f>+G26/DR!G26</f>
        <v>1.3867800864771158</v>
      </c>
    </row>
    <row r="28" spans="1:7" ht="13.5" thickBot="1">
      <c r="A28" s="339" t="s">
        <v>392</v>
      </c>
      <c r="B28" s="329">
        <f>+DR!B26/DR!B29</f>
        <v>0.98210981239489226</v>
      </c>
      <c r="C28" s="329">
        <f>+DR!C26/DR!C29</f>
        <v>0.99268841673344677</v>
      </c>
      <c r="D28" s="329">
        <f>+DR!D26/DR!D29</f>
        <v>0.98995127700502972</v>
      </c>
      <c r="E28" s="329">
        <f>+DR!E26/DR!E29</f>
        <v>0.78507384888417597</v>
      </c>
      <c r="F28" s="329">
        <f>+DR!F26/DR!F29</f>
        <v>1.0032611761426737</v>
      </c>
      <c r="G28" s="330">
        <f>+DR!G26/DR!G29</f>
        <v>1.0009610075726421</v>
      </c>
    </row>
  </sheetData>
  <sheetProtection password="8318" sheet="1" objects="1" scenarios="1"/>
  <mergeCells count="1">
    <mergeCell ref="A4:G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C1D15-A64D-4B9F-8CAA-E6AFA6C21CBA}">
  <sheetPr codeName="Sheet13">
    <pageSetUpPr fitToPage="1"/>
  </sheetPr>
  <dimension ref="A1:N82"/>
  <sheetViews>
    <sheetView showGridLines="0" zoomScaleNormal="100" workbookViewId="0">
      <selection activeCell="J65" sqref="J65"/>
    </sheetView>
  </sheetViews>
  <sheetFormatPr defaultColWidth="8.7109375" defaultRowHeight="12.75"/>
  <cols>
    <col min="1" max="1" width="34.5703125" style="67" customWidth="1"/>
    <col min="2" max="2" width="12" style="67" customWidth="1"/>
    <col min="3" max="9" width="11.42578125" style="67" customWidth="1"/>
    <col min="10" max="10" width="8.7109375" style="67" customWidth="1"/>
    <col min="11" max="11" width="11.85546875" style="67" customWidth="1"/>
    <col min="12" max="13" width="8.7109375" style="67" customWidth="1"/>
    <col min="14" max="14" width="14.85546875" style="67" customWidth="1"/>
    <col min="15" max="15" width="13.140625" style="67" customWidth="1"/>
    <col min="16" max="16384" width="8.7109375" style="67"/>
  </cols>
  <sheetData>
    <row r="1" spans="1:14" ht="13.5">
      <c r="A1" s="57"/>
      <c r="B1" s="57"/>
      <c r="C1" s="51"/>
      <c r="D1" s="51"/>
      <c r="E1" s="51"/>
      <c r="F1" s="51"/>
      <c r="G1" s="51"/>
      <c r="H1" s="48" t="str">
        <f>+VN!G1</f>
        <v>Empresa:</v>
      </c>
      <c r="I1" s="49" t="str">
        <f>+Pressupostos!E1</f>
        <v>WAITR</v>
      </c>
      <c r="J1" s="225"/>
    </row>
    <row r="2" spans="1:14">
      <c r="A2" s="57"/>
      <c r="B2" s="57"/>
      <c r="C2" s="57"/>
      <c r="D2" s="57"/>
      <c r="E2" s="57"/>
      <c r="F2" s="57"/>
      <c r="G2" s="57"/>
      <c r="H2" s="57"/>
      <c r="I2" s="57"/>
    </row>
    <row r="3" spans="1:14">
      <c r="A3" s="57"/>
      <c r="B3" s="57"/>
      <c r="C3" s="57"/>
      <c r="D3" s="57"/>
      <c r="E3" s="57"/>
      <c r="F3" s="57"/>
      <c r="G3" s="57"/>
      <c r="H3" s="57"/>
      <c r="I3" s="57"/>
    </row>
    <row r="4" spans="1:14">
      <c r="A4" s="510" t="s">
        <v>393</v>
      </c>
      <c r="B4" s="510"/>
      <c r="C4" s="510"/>
      <c r="D4" s="510"/>
      <c r="E4" s="510"/>
      <c r="F4" s="510"/>
      <c r="G4" s="510"/>
      <c r="H4" s="510"/>
      <c r="I4" s="510"/>
    </row>
    <row r="5" spans="1:14">
      <c r="A5" s="57"/>
      <c r="B5" s="57"/>
      <c r="C5" s="57"/>
      <c r="D5" s="57"/>
      <c r="E5" s="57"/>
      <c r="F5" s="57"/>
      <c r="G5" s="57"/>
      <c r="H5" s="57"/>
      <c r="I5" s="57"/>
    </row>
    <row r="6" spans="1:14">
      <c r="A6" s="57"/>
      <c r="B6" s="57"/>
      <c r="C6" s="57"/>
      <c r="D6" s="57"/>
      <c r="E6" s="57"/>
      <c r="F6" s="57"/>
      <c r="G6" s="57"/>
      <c r="H6" s="57"/>
      <c r="I6" s="57"/>
    </row>
    <row r="7" spans="1:14" ht="13.5">
      <c r="A7" s="516" t="s">
        <v>394</v>
      </c>
      <c r="B7" s="517"/>
      <c r="C7" s="54">
        <f t="shared" ref="C7:I7" si="0">+C27</f>
        <v>2024</v>
      </c>
      <c r="D7" s="54">
        <f t="shared" si="0"/>
        <v>2025</v>
      </c>
      <c r="E7" s="54">
        <f t="shared" si="0"/>
        <v>2026</v>
      </c>
      <c r="F7" s="54">
        <f t="shared" si="0"/>
        <v>2027</v>
      </c>
      <c r="G7" s="54">
        <f t="shared" si="0"/>
        <v>2028</v>
      </c>
      <c r="H7" s="54">
        <f t="shared" si="0"/>
        <v>2029</v>
      </c>
      <c r="I7" s="54">
        <f t="shared" si="0"/>
        <v>2030</v>
      </c>
      <c r="K7" s="364"/>
      <c r="L7" s="364" t="s">
        <v>122</v>
      </c>
      <c r="M7" s="364" t="s">
        <v>395</v>
      </c>
      <c r="N7" s="364"/>
    </row>
    <row r="8" spans="1:14" ht="13.15" customHeight="1">
      <c r="A8" s="57"/>
      <c r="B8" s="57"/>
      <c r="C8" s="226"/>
      <c r="D8" s="226"/>
      <c r="E8" s="226"/>
      <c r="F8" s="226"/>
      <c r="G8" s="226"/>
      <c r="H8" s="226"/>
      <c r="I8" s="226"/>
      <c r="J8" s="518" t="s">
        <v>396</v>
      </c>
      <c r="K8" s="364" t="s">
        <v>397</v>
      </c>
      <c r="L8" s="365">
        <f>+C14</f>
        <v>-21404.956111111111</v>
      </c>
      <c r="M8" s="365">
        <f>+L8</f>
        <v>-21404.956111111111</v>
      </c>
      <c r="N8" s="366" t="b">
        <f t="shared" ref="N8:N13" si="1">IF(M8&gt;0,M8/L8*12)</f>
        <v>0</v>
      </c>
    </row>
    <row r="9" spans="1:14">
      <c r="A9" s="68" t="s">
        <v>67</v>
      </c>
      <c r="B9" s="76"/>
      <c r="C9" s="227">
        <f t="shared" ref="C9:H9" si="2">+C29</f>
        <v>-21404.956111111111</v>
      </c>
      <c r="D9" s="227">
        <f t="shared" si="2"/>
        <v>-22721.711166666675</v>
      </c>
      <c r="E9" s="227">
        <f t="shared" si="2"/>
        <v>-22332.377705833336</v>
      </c>
      <c r="F9" s="227">
        <f t="shared" si="2"/>
        <v>-5488.0717350805489</v>
      </c>
      <c r="G9" s="227">
        <f t="shared" si="2"/>
        <v>26615.644142374142</v>
      </c>
      <c r="H9" s="227">
        <f t="shared" si="2"/>
        <v>75739.922639792858</v>
      </c>
      <c r="I9" s="371">
        <f>+N20</f>
        <v>42076.053071529917</v>
      </c>
      <c r="J9" s="518"/>
      <c r="K9" s="364" t="s">
        <v>398</v>
      </c>
      <c r="L9" s="365">
        <f>+D14</f>
        <v>-21587.298623976698</v>
      </c>
      <c r="M9" s="365">
        <f>+M8+L9</f>
        <v>-42992.254735087809</v>
      </c>
      <c r="N9" s="367" t="b">
        <f t="shared" si="1"/>
        <v>0</v>
      </c>
    </row>
    <row r="10" spans="1:14">
      <c r="A10" s="190"/>
      <c r="B10" s="60"/>
      <c r="C10" s="228"/>
      <c r="D10" s="228"/>
      <c r="E10" s="228"/>
      <c r="F10" s="228"/>
      <c r="G10" s="228"/>
      <c r="H10" s="228"/>
      <c r="I10" s="228"/>
      <c r="J10" s="518"/>
      <c r="K10" s="364" t="s">
        <v>399</v>
      </c>
      <c r="L10" s="365">
        <f>+E14</f>
        <v>-20157.118575117533</v>
      </c>
      <c r="M10" s="365">
        <f>+M9+L10</f>
        <v>-63149.373310205337</v>
      </c>
      <c r="N10" s="367" t="b">
        <f t="shared" si="1"/>
        <v>0</v>
      </c>
    </row>
    <row r="11" spans="1:14">
      <c r="A11" s="102" t="s">
        <v>400</v>
      </c>
      <c r="B11" s="229"/>
      <c r="C11" s="230">
        <f t="shared" ref="C11:I11" si="3">+C53</f>
        <v>5.2500000000000005E-2</v>
      </c>
      <c r="D11" s="230">
        <f t="shared" si="3"/>
        <v>5.2549999999999999E-2</v>
      </c>
      <c r="E11" s="230">
        <f t="shared" si="3"/>
        <v>5.2601000000000002E-2</v>
      </c>
      <c r="F11" s="230">
        <f t="shared" si="3"/>
        <v>5.2653020000000002E-2</v>
      </c>
      <c r="G11" s="230">
        <f t="shared" si="3"/>
        <v>5.2706080400000001E-2</v>
      </c>
      <c r="H11" s="230">
        <f t="shared" si="3"/>
        <v>5.2760202008000003E-2</v>
      </c>
      <c r="I11" s="230">
        <f t="shared" si="3"/>
        <v>5.2815406048160006E-2</v>
      </c>
      <c r="K11" s="364" t="s">
        <v>401</v>
      </c>
      <c r="L11" s="365">
        <f>+F14</f>
        <v>-4705.7410489523718</v>
      </c>
      <c r="M11" s="365">
        <f>+M10+L11</f>
        <v>-67855.114359157713</v>
      </c>
      <c r="N11" s="368" t="b">
        <f t="shared" si="1"/>
        <v>0</v>
      </c>
    </row>
    <row r="12" spans="1:14">
      <c r="A12" s="126" t="s">
        <v>402</v>
      </c>
      <c r="B12" s="231"/>
      <c r="C12" s="376">
        <v>1</v>
      </c>
      <c r="D12" s="233">
        <f>+C12*(1+D11)</f>
        <v>1.0525500000000001</v>
      </c>
      <c r="E12" s="233">
        <f>+D12*(1+E11)</f>
        <v>1.10791518255</v>
      </c>
      <c r="F12" s="233">
        <f>+E12*(1+F11)</f>
        <v>1.1662502628151088</v>
      </c>
      <c r="G12" s="233">
        <f>+F12*(1+G11)</f>
        <v>1.227718742933563</v>
      </c>
      <c r="H12" s="233">
        <f>+G12*(1+H11)</f>
        <v>1.2924934318197456</v>
      </c>
      <c r="I12" s="380" t="s">
        <v>403</v>
      </c>
      <c r="K12" s="364" t="s">
        <v>404</v>
      </c>
      <c r="L12" s="365">
        <f>+G14</f>
        <v>21678.942588086258</v>
      </c>
      <c r="M12" s="365">
        <f>+M11+L12</f>
        <v>-46176.171771071458</v>
      </c>
      <c r="N12" s="368" t="b">
        <f t="shared" si="1"/>
        <v>0</v>
      </c>
    </row>
    <row r="13" spans="1:14">
      <c r="K13" s="364" t="s">
        <v>405</v>
      </c>
      <c r="L13" s="365">
        <f>+H14</f>
        <v>58599.851090272881</v>
      </c>
      <c r="M13" s="365">
        <f>+M12+L13</f>
        <v>12423.679319201423</v>
      </c>
      <c r="N13" s="368">
        <f t="shared" si="1"/>
        <v>2.5441046189819394</v>
      </c>
    </row>
    <row r="14" spans="1:14">
      <c r="A14" s="68" t="s">
        <v>406</v>
      </c>
      <c r="B14" s="76"/>
      <c r="C14" s="227">
        <f t="shared" ref="C14:H14" si="4">+C9/C12</f>
        <v>-21404.956111111111</v>
      </c>
      <c r="D14" s="227">
        <f t="shared" si="4"/>
        <v>-21587.298623976698</v>
      </c>
      <c r="E14" s="227">
        <f>+E9/E12</f>
        <v>-20157.118575117533</v>
      </c>
      <c r="F14" s="227">
        <f t="shared" si="4"/>
        <v>-4705.7410489523718</v>
      </c>
      <c r="G14" s="227">
        <f t="shared" si="4"/>
        <v>21678.942588086258</v>
      </c>
      <c r="H14" s="227">
        <f t="shared" si="4"/>
        <v>58599.851090272881</v>
      </c>
      <c r="I14" s="227">
        <f>+I9/H12</f>
        <v>32554.171677522263</v>
      </c>
    </row>
    <row r="15" spans="1:14">
      <c r="A15" s="57"/>
      <c r="B15" s="57"/>
      <c r="C15" s="235"/>
      <c r="D15" s="57"/>
      <c r="E15" s="57"/>
      <c r="F15" s="57"/>
      <c r="G15" s="226"/>
      <c r="H15" s="226"/>
      <c r="I15" s="226"/>
    </row>
    <row r="16" spans="1:14">
      <c r="A16" s="68" t="s">
        <v>407</v>
      </c>
      <c r="B16" s="76"/>
      <c r="C16" s="227">
        <f>+C14</f>
        <v>-21404.956111111111</v>
      </c>
      <c r="D16" s="227">
        <f t="shared" ref="D16:I16" si="5">+C16+D14</f>
        <v>-42992.254735087809</v>
      </c>
      <c r="E16" s="227">
        <f t="shared" si="5"/>
        <v>-63149.373310205337</v>
      </c>
      <c r="F16" s="227">
        <f t="shared" si="5"/>
        <v>-67855.114359157713</v>
      </c>
      <c r="G16" s="227">
        <f t="shared" si="5"/>
        <v>-46176.171771071458</v>
      </c>
      <c r="H16" s="227">
        <f t="shared" si="5"/>
        <v>12423.679319201423</v>
      </c>
      <c r="I16" s="227">
        <f t="shared" si="5"/>
        <v>44977.85099672369</v>
      </c>
    </row>
    <row r="17" spans="1:14">
      <c r="A17" s="57"/>
      <c r="B17" s="57"/>
      <c r="C17" s="235"/>
      <c r="D17" s="57"/>
      <c r="E17" s="57"/>
      <c r="F17" s="57"/>
      <c r="G17" s="226"/>
      <c r="H17" s="226"/>
      <c r="I17" s="226"/>
      <c r="K17" s="418" t="s">
        <v>408</v>
      </c>
      <c r="L17" s="418"/>
    </row>
    <row r="18" spans="1:14" ht="13.5">
      <c r="A18" s="259" t="s">
        <v>409</v>
      </c>
      <c r="B18" s="260"/>
      <c r="C18" s="383">
        <f>+I16</f>
        <v>44977.85099672369</v>
      </c>
      <c r="D18" s="262"/>
      <c r="E18" s="263"/>
      <c r="F18" s="264"/>
      <c r="G18" s="265"/>
      <c r="H18" s="262"/>
      <c r="I18" s="262"/>
      <c r="K18" s="420" t="s">
        <v>410</v>
      </c>
      <c r="L18" s="420"/>
      <c r="M18" s="420"/>
      <c r="N18" s="419">
        <f>($H$9*(1+Pressupostos!$B$37))/(Avaliação!$I$11-Pressupostos!$B$37)</f>
        <v>1436913.841901456</v>
      </c>
    </row>
    <row r="19" spans="1:14">
      <c r="A19" s="57"/>
      <c r="B19" s="239"/>
      <c r="C19" s="226"/>
      <c r="D19" s="226"/>
      <c r="E19" s="226"/>
      <c r="F19" s="226"/>
      <c r="G19" s="226"/>
      <c r="H19" s="226"/>
      <c r="I19" s="226"/>
      <c r="K19" s="369" t="s">
        <v>411</v>
      </c>
      <c r="L19" s="266"/>
      <c r="M19" s="266"/>
      <c r="N19" s="387"/>
    </row>
    <row r="20" spans="1:14" ht="12.75" customHeight="1">
      <c r="A20" s="68" t="s">
        <v>412</v>
      </c>
      <c r="B20" s="76"/>
      <c r="C20" s="384">
        <f>IRR(C9:I9,0.1)</f>
        <v>0.19150242384728422</v>
      </c>
      <c r="D20" s="241"/>
      <c r="E20" s="241"/>
      <c r="F20" s="241"/>
      <c r="G20" s="241"/>
      <c r="H20" s="226"/>
      <c r="I20" s="226"/>
      <c r="K20" s="513" t="s">
        <v>413</v>
      </c>
      <c r="L20" s="513"/>
      <c r="M20" s="513"/>
      <c r="N20" s="514">
        <f>(+Balanço!$H$9+FundoManeio!$H$22)/(H12*(1+I11))</f>
        <v>42076.053071529917</v>
      </c>
    </row>
    <row r="21" spans="1:14">
      <c r="A21" s="57"/>
      <c r="B21" s="57"/>
      <c r="C21" s="382"/>
      <c r="D21" s="57"/>
      <c r="E21" s="57"/>
      <c r="F21" s="57"/>
      <c r="G21" s="57"/>
      <c r="H21" s="57"/>
      <c r="I21" s="57"/>
      <c r="K21" s="513"/>
      <c r="L21" s="513"/>
      <c r="M21" s="513"/>
      <c r="N21" s="515"/>
    </row>
    <row r="22" spans="1:14">
      <c r="A22" s="68" t="s">
        <v>414</v>
      </c>
      <c r="B22" s="76"/>
      <c r="C22" s="385">
        <f>COUNTIF(N8:N13,"falso")</f>
        <v>5</v>
      </c>
      <c r="D22" s="242" t="s">
        <v>415</v>
      </c>
      <c r="E22" s="258"/>
      <c r="F22" s="57"/>
      <c r="G22" s="57"/>
      <c r="H22" s="57"/>
      <c r="I22" s="57"/>
    </row>
    <row r="23" spans="1:14">
      <c r="A23" s="190"/>
      <c r="B23" s="60"/>
      <c r="C23" s="228"/>
      <c r="D23" s="228"/>
      <c r="E23" s="228"/>
      <c r="F23" s="228"/>
      <c r="G23" s="228"/>
      <c r="H23" s="228"/>
      <c r="I23" s="228"/>
    </row>
    <row r="24" spans="1:14">
      <c r="A24" s="386"/>
      <c r="B24" s="386"/>
      <c r="C24" s="386"/>
      <c r="D24" s="386"/>
      <c r="E24" s="386"/>
      <c r="F24" s="386"/>
      <c r="G24" s="386"/>
      <c r="H24" s="386"/>
      <c r="I24" s="386"/>
    </row>
    <row r="25" spans="1:14">
      <c r="A25" s="386"/>
      <c r="B25" s="386"/>
      <c r="C25" s="386"/>
      <c r="D25" s="386"/>
      <c r="E25" s="386"/>
      <c r="F25" s="386"/>
      <c r="G25" s="386"/>
      <c r="H25" s="386"/>
      <c r="I25" s="386"/>
    </row>
    <row r="26" spans="1:14">
      <c r="A26" s="190"/>
      <c r="B26" s="60"/>
      <c r="C26" s="228"/>
      <c r="D26" s="228"/>
      <c r="E26" s="228"/>
      <c r="F26" s="228"/>
      <c r="G26" s="228"/>
      <c r="H26" s="228"/>
      <c r="I26" s="228"/>
    </row>
    <row r="27" spans="1:14" ht="13.5">
      <c r="A27" s="516" t="s">
        <v>416</v>
      </c>
      <c r="B27" s="517"/>
      <c r="C27" s="54">
        <f>+VN!C8</f>
        <v>2024</v>
      </c>
      <c r="D27" s="54">
        <f>+VN!D8</f>
        <v>2025</v>
      </c>
      <c r="E27" s="54">
        <f>+VN!E8</f>
        <v>2026</v>
      </c>
      <c r="F27" s="54">
        <f>+VN!F8</f>
        <v>2027</v>
      </c>
      <c r="G27" s="54">
        <f>+VN!G8</f>
        <v>2028</v>
      </c>
      <c r="H27" s="54">
        <f>+VN!H8</f>
        <v>2029</v>
      </c>
      <c r="I27" s="54">
        <f>+H27+1</f>
        <v>2030</v>
      </c>
      <c r="K27" s="364"/>
      <c r="L27" s="364" t="s">
        <v>122</v>
      </c>
      <c r="M27" s="364" t="s">
        <v>395</v>
      </c>
      <c r="N27" s="364"/>
    </row>
    <row r="28" spans="1:14">
      <c r="A28" s="57"/>
      <c r="B28" s="57"/>
      <c r="C28" s="226"/>
      <c r="D28" s="226"/>
      <c r="E28" s="226"/>
      <c r="F28" s="226"/>
      <c r="G28" s="226"/>
      <c r="H28" s="226"/>
      <c r="I28" s="226"/>
      <c r="J28" s="518" t="s">
        <v>396</v>
      </c>
      <c r="K28" s="364" t="s">
        <v>397</v>
      </c>
      <c r="L28" s="365">
        <f>+C34</f>
        <v>-21404.956111111111</v>
      </c>
      <c r="M28" s="365">
        <f>+L28</f>
        <v>-21404.956111111111</v>
      </c>
      <c r="N28" s="366" t="b">
        <f t="shared" ref="N28:N33" si="6">IF(M28&gt;0,M28/L28*12)</f>
        <v>0</v>
      </c>
    </row>
    <row r="29" spans="1:14">
      <c r="A29" s="68" t="s">
        <v>67</v>
      </c>
      <c r="B29" s="76"/>
      <c r="C29" s="227">
        <f>+'Cash Flow'!C21</f>
        <v>-21404.956111111111</v>
      </c>
      <c r="D29" s="227">
        <f>+'Cash Flow'!D21</f>
        <v>-22721.711166666675</v>
      </c>
      <c r="E29" s="227">
        <f>+'Cash Flow'!E21</f>
        <v>-22332.377705833336</v>
      </c>
      <c r="F29" s="227">
        <f>+'Cash Flow'!F21</f>
        <v>-5488.0717350805489</v>
      </c>
      <c r="G29" s="227">
        <f>+'Cash Flow'!G21</f>
        <v>26615.644142374142</v>
      </c>
      <c r="H29" s="227">
        <f>+'Cash Flow'!H21</f>
        <v>75739.922639792858</v>
      </c>
      <c r="I29" s="371">
        <f>+N39</f>
        <v>62588.613209690593</v>
      </c>
      <c r="J29" s="518"/>
      <c r="K29" s="364" t="s">
        <v>398</v>
      </c>
      <c r="L29" s="365">
        <f>+D34</f>
        <v>-23136.483622631633</v>
      </c>
      <c r="M29" s="365">
        <f>+M28+L29</f>
        <v>-44541.439733742744</v>
      </c>
      <c r="N29" s="367" t="b">
        <f t="shared" si="6"/>
        <v>0</v>
      </c>
    </row>
    <row r="30" spans="1:14">
      <c r="A30" s="190"/>
      <c r="B30" s="60"/>
      <c r="C30" s="228"/>
      <c r="D30" s="228"/>
      <c r="E30" s="228"/>
      <c r="F30" s="228"/>
      <c r="G30" s="228"/>
      <c r="H30" s="228"/>
      <c r="I30" s="228"/>
      <c r="J30" s="518"/>
      <c r="K30" s="364" t="s">
        <v>399</v>
      </c>
      <c r="L30" s="365">
        <f>+E34</f>
        <v>-23070.892858641371</v>
      </c>
      <c r="M30" s="365">
        <f>+M29+L30</f>
        <v>-67612.332592384118</v>
      </c>
      <c r="N30" s="367" t="b">
        <f t="shared" si="6"/>
        <v>0</v>
      </c>
    </row>
    <row r="31" spans="1:14">
      <c r="A31" s="102" t="s">
        <v>417</v>
      </c>
      <c r="B31" s="229"/>
      <c r="C31" s="230">
        <f t="shared" ref="C31:H31" si="7">+B80</f>
        <v>3.4445769907262766E-2</v>
      </c>
      <c r="D31" s="230">
        <f t="shared" si="7"/>
        <v>-1.7927203750151378E-2</v>
      </c>
      <c r="E31" s="230">
        <f t="shared" si="7"/>
        <v>-1.4340570564149037E-2</v>
      </c>
      <c r="F31" s="230">
        <f t="shared" si="7"/>
        <v>-1.3624801309912794E-2</v>
      </c>
      <c r="G31" s="230">
        <f t="shared" si="7"/>
        <v>-2.1090823866554649E-2</v>
      </c>
      <c r="H31" s="230">
        <f t="shared" si="7"/>
        <v>-1.0689614927392718E-2</v>
      </c>
      <c r="I31" s="230">
        <f>+H31</f>
        <v>-1.0689614927392718E-2</v>
      </c>
      <c r="K31" s="364" t="s">
        <v>401</v>
      </c>
      <c r="L31" s="365">
        <f>+F34</f>
        <v>-5747.8718047106231</v>
      </c>
      <c r="M31" s="365">
        <f>+M30+L31</f>
        <v>-73360.204397094742</v>
      </c>
      <c r="N31" s="368" t="b">
        <f t="shared" si="6"/>
        <v>0</v>
      </c>
    </row>
    <row r="32" spans="1:14">
      <c r="A32" s="126" t="s">
        <v>402</v>
      </c>
      <c r="B32" s="231"/>
      <c r="C32" s="232">
        <v>1</v>
      </c>
      <c r="D32" s="233">
        <f>+C32*(1+D31)</f>
        <v>0.98207279624984867</v>
      </c>
      <c r="E32" s="233">
        <f>+D32*(1+E31)</f>
        <v>0.9679893120160965</v>
      </c>
      <c r="F32" s="233">
        <f>+E32*(1+F31)</f>
        <v>0.954800649969758</v>
      </c>
      <c r="G32" s="233">
        <f>+F32*(1+G31)</f>
        <v>0.9346631176335739</v>
      </c>
      <c r="H32" s="233">
        <f>+G32*(1+H31)</f>
        <v>0.92467192881923466</v>
      </c>
      <c r="I32" s="380" t="s">
        <v>403</v>
      </c>
      <c r="K32" s="364" t="s">
        <v>404</v>
      </c>
      <c r="L32" s="365">
        <f>+G34</f>
        <v>28476.189591990042</v>
      </c>
      <c r="M32" s="365">
        <f>+M31+L32</f>
        <v>-44884.0148051047</v>
      </c>
      <c r="N32" s="368" t="b">
        <f t="shared" si="6"/>
        <v>0</v>
      </c>
    </row>
    <row r="33" spans="1:14">
      <c r="A33" s="57"/>
      <c r="B33" s="234"/>
      <c r="C33" s="234"/>
      <c r="D33" s="234"/>
      <c r="E33" s="234"/>
      <c r="F33" s="234"/>
      <c r="G33" s="234"/>
      <c r="H33" s="234"/>
      <c r="I33" s="234"/>
      <c r="K33" s="364" t="s">
        <v>405</v>
      </c>
      <c r="L33" s="365">
        <f>+H34</f>
        <v>81910.048612062237</v>
      </c>
      <c r="M33" s="365">
        <f>+M32+L33</f>
        <v>37026.033806957537</v>
      </c>
      <c r="N33" s="368">
        <f t="shared" si="6"/>
        <v>5.4243943595714104</v>
      </c>
    </row>
    <row r="34" spans="1:14">
      <c r="A34" s="68" t="s">
        <v>406</v>
      </c>
      <c r="B34" s="76"/>
      <c r="C34" s="227">
        <f t="shared" ref="C34:H34" si="8">+C29/C32</f>
        <v>-21404.956111111111</v>
      </c>
      <c r="D34" s="227">
        <f t="shared" si="8"/>
        <v>-23136.483622631633</v>
      </c>
      <c r="E34" s="227">
        <f t="shared" si="8"/>
        <v>-23070.892858641371</v>
      </c>
      <c r="F34" s="227">
        <f t="shared" si="8"/>
        <v>-5747.8718047106231</v>
      </c>
      <c r="G34" s="227">
        <f t="shared" si="8"/>
        <v>28476.189591990042</v>
      </c>
      <c r="H34" s="227">
        <f t="shared" si="8"/>
        <v>81910.048612062237</v>
      </c>
      <c r="I34" s="227">
        <f>+I29/H32</f>
        <v>67687.372417170161</v>
      </c>
    </row>
    <row r="35" spans="1:14">
      <c r="A35" s="57"/>
      <c r="B35" s="57"/>
      <c r="C35" s="235"/>
      <c r="D35" s="57"/>
      <c r="E35" s="57"/>
      <c r="F35" s="57"/>
      <c r="G35" s="226"/>
      <c r="H35" s="226"/>
      <c r="I35" s="226"/>
    </row>
    <row r="36" spans="1:14">
      <c r="A36" s="68" t="s">
        <v>407</v>
      </c>
      <c r="B36" s="76"/>
      <c r="C36" s="227">
        <f>+C34</f>
        <v>-21404.956111111111</v>
      </c>
      <c r="D36" s="227">
        <f>+SUM($C$34:D34)</f>
        <v>-44541.439733742744</v>
      </c>
      <c r="E36" s="227">
        <f>+SUM($C$34:E34)</f>
        <v>-67612.332592384118</v>
      </c>
      <c r="F36" s="227">
        <f>+SUM($C$34:F34)</f>
        <v>-73360.204397094742</v>
      </c>
      <c r="G36" s="227">
        <f>+SUM($C$34:G34)</f>
        <v>-44884.0148051047</v>
      </c>
      <c r="H36" s="227">
        <f>+SUM($C$34:H34)</f>
        <v>37026.033806957537</v>
      </c>
      <c r="I36" s="227">
        <f>+SUM($C$34:I34)</f>
        <v>104713.4062241277</v>
      </c>
      <c r="K36" s="418" t="s">
        <v>408</v>
      </c>
      <c r="L36" s="418"/>
    </row>
    <row r="37" spans="1:14" ht="13.5">
      <c r="A37" s="57"/>
      <c r="B37" s="57"/>
      <c r="C37" s="235"/>
      <c r="D37" s="57"/>
      <c r="E37" s="57"/>
      <c r="F37" s="57"/>
      <c r="G37" s="226"/>
      <c r="H37" s="226"/>
      <c r="I37" s="226"/>
      <c r="K37" s="420" t="s">
        <v>410</v>
      </c>
      <c r="L37" s="420"/>
      <c r="M37" s="420"/>
      <c r="N37" s="419">
        <f>($H$29*(1+Pressupostos!$B$37))/(Avaliação!$I$31-Pressupostos!$B$37)</f>
        <v>-7020407.7848736551</v>
      </c>
    </row>
    <row r="38" spans="1:14" s="266" customFormat="1">
      <c r="A38" s="259" t="s">
        <v>409</v>
      </c>
      <c r="B38" s="260"/>
      <c r="C38" s="261">
        <f>+I36</f>
        <v>104713.4062241277</v>
      </c>
      <c r="D38" s="262"/>
      <c r="E38" s="263"/>
      <c r="F38" s="264"/>
      <c r="G38" s="265"/>
      <c r="H38" s="262"/>
      <c r="I38" s="262"/>
      <c r="K38" s="369" t="s">
        <v>411</v>
      </c>
      <c r="N38" s="387"/>
    </row>
    <row r="39" spans="1:14" ht="12.75" customHeight="1">
      <c r="A39" s="57"/>
      <c r="B39" s="239"/>
      <c r="C39" s="226"/>
      <c r="D39" s="226"/>
      <c r="E39" s="226"/>
      <c r="F39" s="226"/>
      <c r="G39" s="226"/>
      <c r="H39" s="226"/>
      <c r="I39" s="226"/>
      <c r="K39" s="513" t="s">
        <v>418</v>
      </c>
      <c r="L39" s="513"/>
      <c r="M39" s="513"/>
      <c r="N39" s="514">
        <f>(+Balanço!$H$9+FundoManeio!$H$22)/(H32*(1+I31))</f>
        <v>62588.613209690593</v>
      </c>
    </row>
    <row r="40" spans="1:14">
      <c r="A40" s="68" t="s">
        <v>412</v>
      </c>
      <c r="B40" s="76"/>
      <c r="C40" s="240">
        <f>IRR(C29:I29,0.1)</f>
        <v>0.22487972898241093</v>
      </c>
      <c r="D40" s="241"/>
      <c r="E40" s="241"/>
      <c r="F40" s="241"/>
      <c r="G40" s="241"/>
      <c r="H40" s="226"/>
      <c r="I40" s="226"/>
      <c r="K40" s="513"/>
      <c r="L40" s="513"/>
      <c r="M40" s="513"/>
      <c r="N40" s="515"/>
    </row>
    <row r="41" spans="1:14">
      <c r="A41" s="57"/>
      <c r="B41" s="57"/>
      <c r="C41" s="57"/>
      <c r="D41" s="57"/>
      <c r="E41" s="57"/>
      <c r="F41" s="57"/>
      <c r="G41" s="57"/>
      <c r="H41" s="57"/>
      <c r="I41" s="57"/>
    </row>
    <row r="42" spans="1:14">
      <c r="A42" s="68" t="s">
        <v>419</v>
      </c>
      <c r="B42" s="76"/>
      <c r="C42" s="227">
        <f>COUNTIF(N28:N33,"falso")</f>
        <v>5</v>
      </c>
      <c r="D42" s="242" t="s">
        <v>415</v>
      </c>
      <c r="E42" s="258"/>
      <c r="F42" s="57"/>
      <c r="G42" s="57"/>
      <c r="H42" s="57"/>
      <c r="I42" s="57"/>
    </row>
    <row r="43" spans="1:14">
      <c r="A43" s="57"/>
      <c r="B43" s="57"/>
      <c r="C43" s="57"/>
      <c r="D43" s="57"/>
      <c r="E43" s="57"/>
      <c r="F43" s="57"/>
      <c r="G43" s="57"/>
      <c r="H43" s="57"/>
      <c r="I43" s="57"/>
    </row>
    <row r="44" spans="1:14">
      <c r="A44" s="386"/>
      <c r="B44" s="386"/>
      <c r="C44" s="386"/>
      <c r="D44" s="386"/>
      <c r="E44" s="386"/>
      <c r="F44" s="386"/>
      <c r="G44" s="386"/>
      <c r="H44" s="386"/>
      <c r="I44" s="386"/>
    </row>
    <row r="45" spans="1:14">
      <c r="A45" s="386"/>
      <c r="B45" s="386"/>
      <c r="C45" s="386"/>
      <c r="D45" s="386"/>
      <c r="E45" s="386"/>
      <c r="F45" s="386"/>
      <c r="G45" s="386"/>
      <c r="H45" s="386"/>
      <c r="I45" s="386"/>
    </row>
    <row r="46" spans="1:14">
      <c r="A46" s="57"/>
      <c r="B46" s="57"/>
      <c r="C46" s="57"/>
      <c r="D46" s="57"/>
      <c r="E46" s="57"/>
      <c r="F46" s="57"/>
      <c r="G46" s="57"/>
      <c r="H46" s="57"/>
      <c r="I46" s="57"/>
    </row>
    <row r="47" spans="1:14" ht="13.5">
      <c r="A47" s="511" t="s">
        <v>420</v>
      </c>
      <c r="B47" s="512"/>
      <c r="C47" s="54">
        <f>+VN!C8</f>
        <v>2024</v>
      </c>
      <c r="D47" s="54">
        <f>+VN!D8</f>
        <v>2025</v>
      </c>
      <c r="E47" s="54">
        <f>+VN!E8</f>
        <v>2026</v>
      </c>
      <c r="F47" s="54">
        <f>+VN!F8</f>
        <v>2027</v>
      </c>
      <c r="G47" s="54">
        <f>+VN!G8</f>
        <v>2028</v>
      </c>
      <c r="H47" s="54">
        <f>+VN!H8</f>
        <v>2029</v>
      </c>
      <c r="I47" s="54">
        <f>H47+1</f>
        <v>2030</v>
      </c>
    </row>
    <row r="48" spans="1:14" ht="13.15" customHeight="1">
      <c r="A48" s="57"/>
      <c r="B48" s="57"/>
      <c r="C48" s="226"/>
      <c r="D48" s="226"/>
      <c r="E48" s="226"/>
      <c r="F48" s="226"/>
      <c r="G48" s="226"/>
      <c r="H48" s="226"/>
      <c r="I48" s="226"/>
      <c r="J48" s="518" t="s">
        <v>396</v>
      </c>
    </row>
    <row r="49" spans="1:14">
      <c r="A49" s="68" t="s">
        <v>421</v>
      </c>
      <c r="B49" s="76"/>
      <c r="C49" s="227">
        <f>+'Cash Flow'!C21+PlanoFinanceiro!C12-PlanoFinanceiro!C23-DR!B28</f>
        <v>-11509.539444444445</v>
      </c>
      <c r="D49" s="227">
        <f>+'Cash Flow'!D21+PlanoFinanceiro!D12-PlanoFinanceiro!D23-DR!C28</f>
        <v>-22972.711166666675</v>
      </c>
      <c r="E49" s="227">
        <f>+'Cash Flow'!E21+PlanoFinanceiro!E12-PlanoFinanceiro!E23-DR!D28</f>
        <v>-24250.044372500004</v>
      </c>
      <c r="F49" s="227">
        <f>+'Cash Flow'!F21+PlanoFinanceiro!F12-PlanoFinanceiro!F23-DR!E28</f>
        <v>-7363.9050684138829</v>
      </c>
      <c r="G49" s="227">
        <f>+'Cash Flow'!G21+PlanoFinanceiro!G12-PlanoFinanceiro!G23-DR!F28</f>
        <v>24781.644142374142</v>
      </c>
      <c r="H49" s="227">
        <f>+'Cash Flow'!H21+PlanoFinanceiro!H12-PlanoFinanceiro!H23-DR!G28</f>
        <v>73947.755973126186</v>
      </c>
      <c r="I49" s="371">
        <f>+N63</f>
        <v>63811.757994271677</v>
      </c>
      <c r="J49" s="518"/>
    </row>
    <row r="50" spans="1:14">
      <c r="A50" s="57"/>
      <c r="B50" s="234"/>
      <c r="C50" s="234"/>
      <c r="D50" s="234"/>
      <c r="E50" s="234"/>
      <c r="F50" s="234"/>
      <c r="G50" s="234"/>
      <c r="H50" s="234"/>
      <c r="I50" s="234"/>
      <c r="J50" s="518"/>
      <c r="K50" s="364"/>
      <c r="L50" s="364" t="s">
        <v>122</v>
      </c>
      <c r="M50" s="364" t="s">
        <v>395</v>
      </c>
      <c r="N50" s="364"/>
    </row>
    <row r="51" spans="1:14">
      <c r="A51" s="102" t="s">
        <v>422</v>
      </c>
      <c r="B51" s="229"/>
      <c r="C51" s="230">
        <f>+Pressupostos!B34</f>
        <v>2.5000000000000001E-3</v>
      </c>
      <c r="D51" s="372">
        <f>+C51*(1+VN!D9)</f>
        <v>2.5500000000000002E-3</v>
      </c>
      <c r="E51" s="372">
        <f>+D51*(1+VN!E9)</f>
        <v>2.6010000000000004E-3</v>
      </c>
      <c r="F51" s="372">
        <f>+E51*(1+VN!F9)</f>
        <v>2.6530200000000003E-3</v>
      </c>
      <c r="G51" s="372">
        <f>+F51*(1+VN!G9)</f>
        <v>2.7060804000000002E-3</v>
      </c>
      <c r="H51" s="372">
        <f>+G51*(1+VN!H9)</f>
        <v>2.7602020080000002E-3</v>
      </c>
      <c r="I51" s="372">
        <f>+H51*(1+VN!H9)</f>
        <v>2.8154060481600002E-3</v>
      </c>
      <c r="K51" s="364" t="s">
        <v>397</v>
      </c>
      <c r="L51" s="365">
        <f>+C56</f>
        <v>-11509.539444444445</v>
      </c>
      <c r="M51" s="365">
        <f>+L51</f>
        <v>-11509.539444444445</v>
      </c>
      <c r="N51" s="366" t="b">
        <f t="shared" ref="N51:N57" si="9">IF(M51&gt;0,M51/L51*12)</f>
        <v>0</v>
      </c>
    </row>
    <row r="52" spans="1:14">
      <c r="A52" s="102" t="s">
        <v>423</v>
      </c>
      <c r="B52" s="229"/>
      <c r="C52" s="230">
        <f>+Pressupostos!B35</f>
        <v>0.05</v>
      </c>
      <c r="D52" s="230">
        <f t="shared" ref="D52:I52" si="10">+C52</f>
        <v>0.05</v>
      </c>
      <c r="E52" s="230">
        <f t="shared" si="10"/>
        <v>0.05</v>
      </c>
      <c r="F52" s="230">
        <f t="shared" si="10"/>
        <v>0.05</v>
      </c>
      <c r="G52" s="230">
        <f t="shared" si="10"/>
        <v>0.05</v>
      </c>
      <c r="H52" s="230">
        <f t="shared" si="10"/>
        <v>0.05</v>
      </c>
      <c r="I52" s="230">
        <f t="shared" si="10"/>
        <v>0.05</v>
      </c>
      <c r="K52" s="364" t="s">
        <v>398</v>
      </c>
      <c r="L52" s="365">
        <f>+D56</f>
        <v>-21825.767105283998</v>
      </c>
      <c r="M52" s="365">
        <f t="shared" ref="M52:M57" si="11">+M51+L52</f>
        <v>-33335.306549728441</v>
      </c>
      <c r="N52" s="370" t="b">
        <f t="shared" si="9"/>
        <v>0</v>
      </c>
    </row>
    <row r="53" spans="1:14">
      <c r="A53" s="102" t="s">
        <v>424</v>
      </c>
      <c r="B53" s="229"/>
      <c r="C53" s="230">
        <f>+C51+Pressupostos!$B$36*(Avaliação!C52)</f>
        <v>5.2500000000000005E-2</v>
      </c>
      <c r="D53" s="230">
        <f>+D51+Pressupostos!$B$36*(Avaliação!D52)</f>
        <v>5.2549999999999999E-2</v>
      </c>
      <c r="E53" s="230">
        <f>+E51+Pressupostos!$B$36*(Avaliação!E52)</f>
        <v>5.2601000000000002E-2</v>
      </c>
      <c r="F53" s="230">
        <f>+F51+Pressupostos!$B$36*(Avaliação!F52)</f>
        <v>5.2653020000000002E-2</v>
      </c>
      <c r="G53" s="230">
        <f>+G51+Pressupostos!$B$36*(Avaliação!G52)</f>
        <v>5.2706080400000001E-2</v>
      </c>
      <c r="H53" s="230">
        <f>+H51+Pressupostos!$B$36*(Avaliação!H52)</f>
        <v>5.2760202008000003E-2</v>
      </c>
      <c r="I53" s="230">
        <f>+I51+Pressupostos!$B$36*(Avaliação!I52)</f>
        <v>5.2815406048160006E-2</v>
      </c>
      <c r="K53" s="364" t="s">
        <v>399</v>
      </c>
      <c r="L53" s="365">
        <f>+E56</f>
        <v>-21887.99716300088</v>
      </c>
      <c r="M53" s="365">
        <f t="shared" si="11"/>
        <v>-55223.303712729321</v>
      </c>
      <c r="N53" s="370" t="b">
        <f t="shared" si="9"/>
        <v>0</v>
      </c>
    </row>
    <row r="54" spans="1:14">
      <c r="A54" s="102" t="s">
        <v>425</v>
      </c>
      <c r="B54" s="229"/>
      <c r="C54" s="232">
        <v>1</v>
      </c>
      <c r="D54" s="233">
        <f>+C54*(1+D53)</f>
        <v>1.0525500000000001</v>
      </c>
      <c r="E54" s="233">
        <f>+D54*(1+E53)</f>
        <v>1.10791518255</v>
      </c>
      <c r="F54" s="233">
        <f>+E54*(1+F53)</f>
        <v>1.1662502628151088</v>
      </c>
      <c r="G54" s="233">
        <f>+F54*(1+G53)</f>
        <v>1.227718742933563</v>
      </c>
      <c r="H54" s="233">
        <f>+G54*(1+H53)</f>
        <v>1.2924934318197456</v>
      </c>
      <c r="I54" s="379" t="s">
        <v>403</v>
      </c>
      <c r="K54" s="364" t="s">
        <v>401</v>
      </c>
      <c r="L54" s="365">
        <f>+F56</f>
        <v>-6314.172269199581</v>
      </c>
      <c r="M54" s="365">
        <f t="shared" si="11"/>
        <v>-61537.475981928903</v>
      </c>
      <c r="N54" s="368" t="b">
        <f t="shared" si="9"/>
        <v>0</v>
      </c>
    </row>
    <row r="55" spans="1:14">
      <c r="A55" s="57"/>
      <c r="B55" s="234"/>
      <c r="C55" s="244"/>
      <c r="D55" s="245"/>
      <c r="E55" s="245"/>
      <c r="F55" s="245"/>
      <c r="G55" s="245"/>
      <c r="H55" s="245"/>
      <c r="I55" s="245"/>
      <c r="K55" s="364" t="s">
        <v>404</v>
      </c>
      <c r="L55" s="365">
        <f>+G56</f>
        <v>20185.115104750974</v>
      </c>
      <c r="M55" s="365">
        <f t="shared" si="11"/>
        <v>-41352.360877177925</v>
      </c>
      <c r="N55" s="368" t="b">
        <f>IF(M55&gt;0,M55/L55*12)</f>
        <v>0</v>
      </c>
    </row>
    <row r="56" spans="1:14">
      <c r="A56" s="68" t="s">
        <v>426</v>
      </c>
      <c r="B56" s="76"/>
      <c r="C56" s="227">
        <f t="shared" ref="C56:H56" si="12">+C49/C54</f>
        <v>-11509.539444444445</v>
      </c>
      <c r="D56" s="227">
        <f t="shared" si="12"/>
        <v>-21825.767105283998</v>
      </c>
      <c r="E56" s="227">
        <f t="shared" si="12"/>
        <v>-21887.99716300088</v>
      </c>
      <c r="F56" s="227">
        <f t="shared" si="12"/>
        <v>-6314.172269199581</v>
      </c>
      <c r="G56" s="227">
        <f t="shared" si="12"/>
        <v>20185.115104750974</v>
      </c>
      <c r="H56" s="227">
        <f t="shared" si="12"/>
        <v>57213.254746689592</v>
      </c>
      <c r="I56" s="227">
        <f>+I49/H54</f>
        <v>49371.050113909609</v>
      </c>
      <c r="K56" s="364" t="s">
        <v>405</v>
      </c>
      <c r="L56" s="365">
        <f>+H56</f>
        <v>57213.254746689592</v>
      </c>
      <c r="M56" s="365">
        <f t="shared" si="11"/>
        <v>15860.893869511667</v>
      </c>
      <c r="N56" s="368">
        <f>IF(M56&gt;0,M56/L56*12)</f>
        <v>3.3266893707904757</v>
      </c>
    </row>
    <row r="57" spans="1:14">
      <c r="A57" s="190"/>
      <c r="B57" s="60"/>
      <c r="C57" s="228"/>
      <c r="D57" s="228"/>
      <c r="E57" s="228"/>
      <c r="F57" s="228"/>
      <c r="G57" s="228"/>
      <c r="H57" s="228"/>
      <c r="I57" s="228"/>
      <c r="K57" s="364" t="s">
        <v>427</v>
      </c>
      <c r="L57" s="365">
        <f>+I56</f>
        <v>49371.050113909609</v>
      </c>
      <c r="M57" s="365">
        <f t="shared" si="11"/>
        <v>65231.943983421275</v>
      </c>
      <c r="N57" s="368">
        <f t="shared" si="9"/>
        <v>15.855107922456705</v>
      </c>
    </row>
    <row r="58" spans="1:14">
      <c r="A58" s="68" t="s">
        <v>407</v>
      </c>
      <c r="B58" s="76"/>
      <c r="C58" s="227">
        <f>+C56</f>
        <v>-11509.539444444445</v>
      </c>
      <c r="D58" s="227">
        <f>+SUM($C$56:D56)</f>
        <v>-33335.306549728441</v>
      </c>
      <c r="E58" s="227">
        <f>+SUM($C$56:E56)</f>
        <v>-55223.303712729321</v>
      </c>
      <c r="F58" s="227">
        <f>+SUM($C$56:F56)</f>
        <v>-61537.475981928903</v>
      </c>
      <c r="G58" s="227">
        <f>+SUM($C$56:G56)</f>
        <v>-41352.360877177925</v>
      </c>
      <c r="H58" s="227">
        <f>+SUM($C$56:H56)</f>
        <v>15860.893869511667</v>
      </c>
      <c r="I58" s="227">
        <f>+SUM($C$56:I56)</f>
        <v>65231.943983421275</v>
      </c>
    </row>
    <row r="59" spans="1:14">
      <c r="A59" s="57"/>
      <c r="B59" s="57"/>
      <c r="C59" s="235"/>
      <c r="D59" s="57"/>
      <c r="E59" s="57"/>
      <c r="F59" s="57"/>
      <c r="G59" s="226"/>
      <c r="H59" s="226"/>
      <c r="I59" s="226"/>
    </row>
    <row r="60" spans="1:14">
      <c r="A60" s="68" t="s">
        <v>409</v>
      </c>
      <c r="B60" s="76"/>
      <c r="C60" s="227">
        <f>I58</f>
        <v>65231.943983421275</v>
      </c>
      <c r="D60" s="236"/>
      <c r="E60" s="226"/>
      <c r="F60" s="237"/>
      <c r="G60" s="238"/>
      <c r="H60" s="236"/>
      <c r="I60" s="236"/>
      <c r="K60" s="418" t="s">
        <v>408</v>
      </c>
      <c r="L60" s="418"/>
    </row>
    <row r="61" spans="1:14" ht="13.5">
      <c r="A61" s="57"/>
      <c r="B61" s="239"/>
      <c r="C61" s="226"/>
      <c r="D61" s="226"/>
      <c r="E61" s="226"/>
      <c r="F61" s="226"/>
      <c r="G61" s="226"/>
      <c r="H61" s="226"/>
      <c r="I61" s="226"/>
      <c r="J61" s="246"/>
      <c r="K61" s="420" t="s">
        <v>410</v>
      </c>
      <c r="L61" s="420"/>
      <c r="M61" s="420"/>
      <c r="N61" s="419">
        <f>+($H$49*(1+Pressupostos!$B$37))/($I$53-Pressupostos!$B$37)</f>
        <v>1402913.4230922775</v>
      </c>
    </row>
    <row r="62" spans="1:14">
      <c r="A62" s="68" t="s">
        <v>412</v>
      </c>
      <c r="B62" s="76"/>
      <c r="C62" s="240">
        <f>IRR(C49:I49,0.1)</f>
        <v>0.26242431035052149</v>
      </c>
      <c r="D62" s="241"/>
      <c r="E62" s="241"/>
      <c r="F62" s="241"/>
      <c r="G62" s="241"/>
      <c r="H62" s="226"/>
      <c r="I62" s="226"/>
      <c r="J62" s="246"/>
      <c r="K62" s="369" t="s">
        <v>411</v>
      </c>
      <c r="L62" s="266"/>
      <c r="M62" s="266"/>
      <c r="N62" s="387"/>
    </row>
    <row r="63" spans="1:14" ht="10.15" customHeight="1">
      <c r="A63" s="57"/>
      <c r="B63" s="57"/>
      <c r="C63" s="241"/>
      <c r="D63" s="241"/>
      <c r="E63" s="241"/>
      <c r="F63" s="241"/>
      <c r="G63" s="241"/>
      <c r="H63" s="226"/>
      <c r="I63" s="226"/>
      <c r="J63" s="246"/>
      <c r="K63" s="513" t="s">
        <v>428</v>
      </c>
      <c r="L63" s="513"/>
      <c r="M63" s="513"/>
      <c r="N63" s="514">
        <f>+Balanço!H33/(H54*(1+I53))</f>
        <v>63811.757994271677</v>
      </c>
    </row>
    <row r="64" spans="1:14">
      <c r="A64" s="68" t="s">
        <v>419</v>
      </c>
      <c r="B64" s="76"/>
      <c r="C64" s="377">
        <f>COUNTIF(N51:N56,"falso")</f>
        <v>5</v>
      </c>
      <c r="D64" s="242" t="s">
        <v>415</v>
      </c>
      <c r="E64" s="241"/>
      <c r="F64" s="241"/>
      <c r="G64" s="241"/>
      <c r="H64" s="226"/>
      <c r="I64" s="226"/>
      <c r="J64" s="246"/>
      <c r="K64" s="513"/>
      <c r="L64" s="513"/>
      <c r="M64" s="513"/>
      <c r="N64" s="515"/>
    </row>
    <row r="65" spans="1:14">
      <c r="A65" s="57"/>
      <c r="B65" s="57"/>
      <c r="C65" s="57"/>
      <c r="D65" s="57"/>
      <c r="E65" s="57"/>
      <c r="F65" s="57"/>
      <c r="G65" s="57"/>
      <c r="H65" s="57"/>
      <c r="I65" s="57"/>
      <c r="J65" s="246"/>
      <c r="N65" s="247"/>
    </row>
    <row r="66" spans="1:14">
      <c r="A66" s="57"/>
      <c r="B66" s="57"/>
      <c r="C66" s="57"/>
      <c r="D66" s="57"/>
      <c r="E66" s="57"/>
      <c r="F66" s="57"/>
      <c r="G66" s="57"/>
      <c r="H66" s="57"/>
      <c r="I66" s="57"/>
      <c r="J66" s="246"/>
      <c r="N66" s="247"/>
    </row>
    <row r="67" spans="1:14">
      <c r="A67" s="57"/>
      <c r="B67" s="243"/>
      <c r="C67" s="57"/>
      <c r="D67" s="57"/>
      <c r="E67" s="57"/>
      <c r="F67" s="57"/>
      <c r="G67" s="57"/>
      <c r="H67" s="57"/>
      <c r="I67" s="57"/>
    </row>
    <row r="68" spans="1:14">
      <c r="A68" s="275" t="s">
        <v>429</v>
      </c>
      <c r="B68" s="267">
        <f>+C27</f>
        <v>2024</v>
      </c>
      <c r="C68" s="272">
        <f>+B68+1</f>
        <v>2025</v>
      </c>
      <c r="D68" s="272">
        <f>+C68+1</f>
        <v>2026</v>
      </c>
      <c r="E68" s="272">
        <f>+D68+1</f>
        <v>2027</v>
      </c>
      <c r="F68" s="272">
        <f>+E68+1</f>
        <v>2028</v>
      </c>
      <c r="G68" s="272">
        <f>+F68+1</f>
        <v>2029</v>
      </c>
      <c r="H68" s="57"/>
      <c r="I68" s="57"/>
    </row>
    <row r="69" spans="1:14">
      <c r="A69" s="271" t="s">
        <v>430</v>
      </c>
      <c r="B69" s="273">
        <f>Balanço!C39+Balanço!C46</f>
        <v>10000</v>
      </c>
      <c r="C69" s="273">
        <f>Balanço!D39+Balanço!D46</f>
        <v>10000</v>
      </c>
      <c r="D69" s="273">
        <f>Balanço!E39+Balanço!E46</f>
        <v>8333.3333333333339</v>
      </c>
      <c r="E69" s="273">
        <f>Balanço!F39+Balanço!F46</f>
        <v>6666.666666666667</v>
      </c>
      <c r="F69" s="273">
        <f>Balanço!G39+Balanço!G46</f>
        <v>5000</v>
      </c>
      <c r="G69" s="273">
        <f>Balanço!H39+Balanço!H46</f>
        <v>3333.333333333333</v>
      </c>
      <c r="H69" s="57"/>
      <c r="I69" s="57"/>
    </row>
    <row r="70" spans="1:14">
      <c r="A70" s="271" t="s">
        <v>431</v>
      </c>
      <c r="B70" s="273">
        <f>+Balanço!C33</f>
        <v>-5845.8488888888887</v>
      </c>
      <c r="C70" s="273">
        <f>+Balanço!D33</f>
        <v>-40174.938888888893</v>
      </c>
      <c r="D70" s="273">
        <f>+Balanço!E33</f>
        <v>-65153.237138888893</v>
      </c>
      <c r="E70" s="273">
        <f>+Balanço!F33</f>
        <v>-66126.439634633338</v>
      </c>
      <c r="F70" s="273">
        <f>+Balanço!G33</f>
        <v>-14815.708164563584</v>
      </c>
      <c r="G70" s="273">
        <f>+Balanço!H33</f>
        <v>86832.296196628129</v>
      </c>
      <c r="H70" s="57"/>
      <c r="I70" s="57"/>
    </row>
    <row r="71" spans="1:14">
      <c r="A71" s="270" t="s">
        <v>172</v>
      </c>
      <c r="B71" s="273">
        <f t="shared" ref="B71:G71" si="13">+B69+B70</f>
        <v>4154.1511111111113</v>
      </c>
      <c r="C71" s="273">
        <f t="shared" si="13"/>
        <v>-30174.938888888893</v>
      </c>
      <c r="D71" s="273">
        <f t="shared" si="13"/>
        <v>-56819.903805555557</v>
      </c>
      <c r="E71" s="273">
        <f t="shared" si="13"/>
        <v>-59459.772967966674</v>
      </c>
      <c r="F71" s="273">
        <f t="shared" si="13"/>
        <v>-9815.7081645635844</v>
      </c>
      <c r="G71" s="273">
        <f t="shared" si="13"/>
        <v>90165.629529961458</v>
      </c>
      <c r="H71" s="57"/>
      <c r="I71" s="57"/>
    </row>
    <row r="72" spans="1:14">
      <c r="A72" s="271" t="s">
        <v>432</v>
      </c>
      <c r="B72" s="274">
        <f t="shared" ref="B72:G72" si="14">+B69/B71</f>
        <v>2.4072306790316298</v>
      </c>
      <c r="C72" s="274">
        <f t="shared" si="14"/>
        <v>-0.33140083686075766</v>
      </c>
      <c r="D72" s="274">
        <f t="shared" si="14"/>
        <v>-0.14666222177797042</v>
      </c>
      <c r="E72" s="274">
        <f t="shared" si="14"/>
        <v>-0.11212062094919642</v>
      </c>
      <c r="F72" s="274">
        <f t="shared" si="14"/>
        <v>-0.50938759752973006</v>
      </c>
      <c r="G72" s="274">
        <f t="shared" si="14"/>
        <v>3.6969001943536452E-2</v>
      </c>
      <c r="H72" s="57"/>
      <c r="I72" s="57"/>
    </row>
    <row r="73" spans="1:14">
      <c r="A73" s="271" t="s">
        <v>433</v>
      </c>
      <c r="B73" s="274">
        <f t="shared" ref="B73:G73" si="15">+B70/B71</f>
        <v>-1.4072306790316298</v>
      </c>
      <c r="C73" s="274">
        <f t="shared" si="15"/>
        <v>1.3314008368607577</v>
      </c>
      <c r="D73" s="274">
        <f t="shared" si="15"/>
        <v>1.1466622217779705</v>
      </c>
      <c r="E73" s="274">
        <f t="shared" si="15"/>
        <v>1.1121206209491963</v>
      </c>
      <c r="F73" s="274">
        <f t="shared" si="15"/>
        <v>1.50938759752973</v>
      </c>
      <c r="G73" s="274">
        <f t="shared" si="15"/>
        <v>0.96303099805646364</v>
      </c>
      <c r="H73" s="57"/>
      <c r="I73" s="57"/>
    </row>
    <row r="74" spans="1:14">
      <c r="A74" s="57"/>
      <c r="B74" s="243"/>
      <c r="C74" s="57"/>
      <c r="D74" s="57"/>
      <c r="E74" s="57"/>
      <c r="F74" s="57"/>
      <c r="G74" s="57"/>
      <c r="H74" s="57"/>
      <c r="I74" s="57"/>
    </row>
    <row r="75" spans="1:14">
      <c r="A75" s="375" t="s">
        <v>434</v>
      </c>
      <c r="B75" s="373">
        <f>+Pressupostos!B36*(1+(1-Pressupostos!B28)*(Avaliação!B69/Avaliação!B70))</f>
        <v>-0.28296166092406683</v>
      </c>
      <c r="C75" s="374">
        <f>+B75</f>
        <v>-0.28296166092406683</v>
      </c>
      <c r="D75" s="374">
        <f>+C75</f>
        <v>-0.28296166092406683</v>
      </c>
      <c r="E75" s="374">
        <f>+D75</f>
        <v>-0.28296166092406683</v>
      </c>
      <c r="F75" s="374">
        <f>+E75</f>
        <v>-0.28296166092406683</v>
      </c>
      <c r="G75" s="374">
        <f>+F75</f>
        <v>-0.28296166092406683</v>
      </c>
      <c r="H75" s="57"/>
      <c r="I75" s="57"/>
    </row>
    <row r="76" spans="1:14">
      <c r="A76" s="269" t="s">
        <v>435</v>
      </c>
      <c r="B76" s="243"/>
      <c r="C76" s="57"/>
      <c r="D76" s="57"/>
      <c r="E76" s="57"/>
      <c r="F76" s="57"/>
      <c r="G76" s="57"/>
      <c r="H76" s="57"/>
      <c r="I76" s="57"/>
    </row>
    <row r="77" spans="1:14">
      <c r="A77" s="271" t="s">
        <v>436</v>
      </c>
      <c r="B77" s="274">
        <f>+Pressupostos!$B$32</f>
        <v>0.01</v>
      </c>
      <c r="C77" s="274">
        <f>+Pressupostos!$B$32</f>
        <v>0.01</v>
      </c>
      <c r="D77" s="274">
        <f>+Pressupostos!$B$32</f>
        <v>0.01</v>
      </c>
      <c r="E77" s="274">
        <f>+Pressupostos!$B$32</f>
        <v>0.01</v>
      </c>
      <c r="F77" s="274">
        <f>+Pressupostos!$B$32</f>
        <v>0.01</v>
      </c>
      <c r="G77" s="274">
        <f>+Pressupostos!$B$32</f>
        <v>0.01</v>
      </c>
      <c r="H77" s="57"/>
      <c r="I77" s="57"/>
    </row>
    <row r="78" spans="1:14">
      <c r="A78" s="271" t="s">
        <v>437</v>
      </c>
      <c r="B78" s="274">
        <f>B77*(1-Pressupostos!$B$28)</f>
        <v>7.4999999999999997E-3</v>
      </c>
      <c r="C78" s="274">
        <f>C77*(1-Pressupostos!$B$28)</f>
        <v>7.4999999999999997E-3</v>
      </c>
      <c r="D78" s="274">
        <f>D77*(1-Pressupostos!$B$28)</f>
        <v>7.4999999999999997E-3</v>
      </c>
      <c r="E78" s="274">
        <f>E77*(1-Pressupostos!$B$28)</f>
        <v>7.4999999999999997E-3</v>
      </c>
      <c r="F78" s="274">
        <f>F77*(1-Pressupostos!$B$28)</f>
        <v>7.4999999999999997E-3</v>
      </c>
      <c r="G78" s="274">
        <f>G77*(1-Pressupostos!$B$28)</f>
        <v>7.4999999999999997E-3</v>
      </c>
      <c r="H78" s="57"/>
      <c r="I78" s="57"/>
    </row>
    <row r="79" spans="1:14">
      <c r="A79" s="271" t="s">
        <v>438</v>
      </c>
      <c r="B79" s="274">
        <f>(C51+(B75*Pressupostos!$B$35))</f>
        <v>-1.1648083046203342E-2</v>
      </c>
      <c r="C79" s="274">
        <f>(D51+(C75*Pressupostos!$B$35))</f>
        <v>-1.1598083046203342E-2</v>
      </c>
      <c r="D79" s="274">
        <f>(E51+(D75*Pressupostos!$B$35))</f>
        <v>-1.1547083046203341E-2</v>
      </c>
      <c r="E79" s="274">
        <f>(F51+(E75*Pressupostos!$B$35))</f>
        <v>-1.1495063046203341E-2</v>
      </c>
      <c r="F79" s="274">
        <f>(G51+(F75*Pressupostos!$B$35))</f>
        <v>-1.1442002646203342E-2</v>
      </c>
      <c r="G79" s="274">
        <f>(H51+(G75*Pressupostos!$B$35))</f>
        <v>-1.1387881038203342E-2</v>
      </c>
      <c r="H79" s="57"/>
      <c r="I79" s="57"/>
    </row>
    <row r="80" spans="1:14">
      <c r="A80" s="271" t="s">
        <v>439</v>
      </c>
      <c r="B80" s="274">
        <f t="shared" ref="B80:G80" si="16">(B72*B78)+(B73*B79)</f>
        <v>3.4445769907262766E-2</v>
      </c>
      <c r="C80" s="274">
        <f t="shared" si="16"/>
        <v>-1.7927203750151378E-2</v>
      </c>
      <c r="D80" s="274">
        <f t="shared" si="16"/>
        <v>-1.4340570564149037E-2</v>
      </c>
      <c r="E80" s="274">
        <f t="shared" si="16"/>
        <v>-1.3624801309912794E-2</v>
      </c>
      <c r="F80" s="274">
        <f t="shared" si="16"/>
        <v>-2.1090823866554649E-2</v>
      </c>
      <c r="G80" s="274">
        <f t="shared" si="16"/>
        <v>-1.0689614927392718E-2</v>
      </c>
      <c r="H80" s="57"/>
      <c r="I80" s="57"/>
    </row>
    <row r="81" spans="1:9">
      <c r="A81" s="57"/>
      <c r="B81" s="175"/>
      <c r="C81" s="175"/>
      <c r="D81" s="175"/>
      <c r="E81" s="175"/>
      <c r="F81" s="175"/>
      <c r="G81" s="175"/>
      <c r="H81" s="57"/>
      <c r="I81" s="57"/>
    </row>
    <row r="82" spans="1:9">
      <c r="A82" s="57"/>
      <c r="B82" s="243"/>
      <c r="C82" s="57"/>
      <c r="D82" s="57"/>
      <c r="E82" s="57"/>
      <c r="F82" s="57"/>
      <c r="G82" s="57"/>
      <c r="H82" s="57"/>
      <c r="I82" s="57"/>
    </row>
  </sheetData>
  <sheetProtection password="8318" sheet="1"/>
  <mergeCells count="13">
    <mergeCell ref="A4:I4"/>
    <mergeCell ref="A47:B47"/>
    <mergeCell ref="K39:M40"/>
    <mergeCell ref="N39:N40"/>
    <mergeCell ref="K63:M64"/>
    <mergeCell ref="N63:N64"/>
    <mergeCell ref="A7:B7"/>
    <mergeCell ref="K20:M21"/>
    <mergeCell ref="N20:N21"/>
    <mergeCell ref="A27:B27"/>
    <mergeCell ref="J8:J10"/>
    <mergeCell ref="J28:J30"/>
    <mergeCell ref="J48:J5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5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5EC17-9E2E-4AA1-B5F5-496E5EC39C98}">
  <sheetPr codeName="Folha6">
    <pageSetUpPr fitToPage="1"/>
  </sheetPr>
  <dimension ref="A1:H91"/>
  <sheetViews>
    <sheetView showGridLines="0" showZeros="0" workbookViewId="0">
      <selection activeCell="G12" sqref="G12"/>
    </sheetView>
  </sheetViews>
  <sheetFormatPr defaultColWidth="8.7109375" defaultRowHeight="12.75"/>
  <cols>
    <col min="1" max="1" width="42.28515625" style="67" customWidth="1"/>
    <col min="2" max="2" width="13.7109375" style="67" bestFit="1" customWidth="1"/>
    <col min="3" max="10" width="11.42578125" style="67" customWidth="1"/>
    <col min="11" max="16384" width="8.7109375" style="67"/>
  </cols>
  <sheetData>
    <row r="1" spans="1:8">
      <c r="A1" s="57"/>
      <c r="B1" s="57"/>
      <c r="C1" s="177"/>
      <c r="D1" s="177"/>
      <c r="E1" s="177"/>
      <c r="F1" s="177"/>
      <c r="G1" s="215" t="s">
        <v>26</v>
      </c>
      <c r="H1" s="304" t="str">
        <f>+Pressupostos!E1</f>
        <v>WAITR</v>
      </c>
    </row>
    <row r="2" spans="1:8" s="217" customFormat="1">
      <c r="A2" s="51"/>
      <c r="B2" s="51"/>
      <c r="C2" s="51"/>
      <c r="D2" s="51"/>
      <c r="E2" s="47"/>
      <c r="F2" s="47"/>
      <c r="G2" s="47"/>
      <c r="H2" s="52"/>
    </row>
    <row r="3" spans="1:8" s="217" customFormat="1">
      <c r="A3" s="51"/>
      <c r="B3" s="51"/>
      <c r="C3" s="51"/>
      <c r="D3" s="51"/>
      <c r="E3" s="47"/>
      <c r="F3" s="47"/>
      <c r="G3" s="47"/>
      <c r="H3" s="52"/>
    </row>
    <row r="4" spans="1:8" ht="15.75">
      <c r="A4" s="457" t="s">
        <v>440</v>
      </c>
      <c r="B4" s="457"/>
      <c r="C4" s="457"/>
      <c r="D4" s="457"/>
      <c r="E4" s="457"/>
      <c r="F4" s="457"/>
      <c r="G4" s="457"/>
      <c r="H4" s="457"/>
    </row>
    <row r="5" spans="1:8">
      <c r="A5" s="57"/>
      <c r="B5" s="57"/>
      <c r="C5" s="57"/>
      <c r="D5" s="57"/>
      <c r="E5" s="57"/>
      <c r="F5" s="57"/>
      <c r="G5" s="57"/>
      <c r="H5" s="57"/>
    </row>
    <row r="6" spans="1:8">
      <c r="A6" s="305" t="s">
        <v>441</v>
      </c>
      <c r="B6" s="57"/>
      <c r="C6" s="57"/>
      <c r="D6" s="57"/>
      <c r="E6" s="57"/>
      <c r="F6" s="57"/>
      <c r="G6" s="57"/>
      <c r="H6" s="57"/>
    </row>
    <row r="7" spans="1:8">
      <c r="A7" s="306" t="s">
        <v>442</v>
      </c>
      <c r="B7" s="307" t="s">
        <v>443</v>
      </c>
      <c r="C7" s="307" t="s">
        <v>444</v>
      </c>
      <c r="D7" s="307" t="s">
        <v>445</v>
      </c>
      <c r="E7" s="307" t="s">
        <v>446</v>
      </c>
      <c r="F7" s="307" t="s">
        <v>447</v>
      </c>
      <c r="G7" s="57"/>
      <c r="H7" s="57"/>
    </row>
    <row r="8" spans="1:8">
      <c r="A8" s="308"/>
      <c r="B8" s="309"/>
      <c r="C8" s="309"/>
      <c r="D8" s="309"/>
      <c r="E8" s="309"/>
      <c r="F8" s="309"/>
      <c r="G8" s="57"/>
      <c r="H8" s="57"/>
    </row>
    <row r="9" spans="1:8">
      <c r="A9" s="308"/>
      <c r="B9" s="309"/>
      <c r="C9" s="309"/>
      <c r="D9" s="309"/>
      <c r="E9" s="309"/>
      <c r="F9" s="309"/>
      <c r="G9" s="57"/>
      <c r="H9" s="57"/>
    </row>
    <row r="10" spans="1:8">
      <c r="A10" s="310"/>
      <c r="B10" s="38"/>
      <c r="C10" s="38"/>
      <c r="D10" s="38"/>
      <c r="E10" s="38"/>
      <c r="F10" s="38"/>
      <c r="G10" s="57"/>
      <c r="H10" s="57"/>
    </row>
    <row r="11" spans="1:8">
      <c r="A11" s="310"/>
      <c r="B11" s="38"/>
      <c r="C11" s="38"/>
      <c r="D11" s="38"/>
      <c r="E11" s="38"/>
      <c r="F11" s="38"/>
      <c r="G11" s="150"/>
      <c r="H11" s="150"/>
    </row>
    <row r="12" spans="1:8">
      <c r="A12" s="310"/>
      <c r="B12" s="38"/>
      <c r="C12" s="38"/>
      <c r="D12" s="38"/>
      <c r="E12" s="38"/>
      <c r="F12" s="38"/>
      <c r="G12" s="150"/>
      <c r="H12" s="150"/>
    </row>
    <row r="13" spans="1:8">
      <c r="A13" s="308"/>
      <c r="B13" s="38"/>
      <c r="C13" s="38"/>
      <c r="D13" s="38"/>
      <c r="E13" s="38"/>
      <c r="F13" s="38"/>
      <c r="G13" s="150"/>
      <c r="H13" s="150"/>
    </row>
    <row r="14" spans="1:8">
      <c r="A14" s="308"/>
      <c r="B14" s="38"/>
      <c r="C14" s="38"/>
      <c r="D14" s="38"/>
      <c r="E14" s="38"/>
      <c r="F14" s="38"/>
      <c r="G14" s="150"/>
      <c r="H14" s="150"/>
    </row>
    <row r="15" spans="1:8">
      <c r="A15" s="310"/>
      <c r="B15" s="38"/>
      <c r="C15" s="38"/>
      <c r="D15" s="38"/>
      <c r="E15" s="38"/>
      <c r="F15" s="38"/>
      <c r="G15" s="150"/>
      <c r="H15" s="150"/>
    </row>
    <row r="16" spans="1:8">
      <c r="A16" s="310"/>
      <c r="B16" s="38"/>
      <c r="C16" s="38"/>
      <c r="D16" s="38"/>
      <c r="E16" s="38"/>
      <c r="F16" s="38"/>
      <c r="G16" s="150"/>
      <c r="H16" s="150"/>
    </row>
    <row r="17" spans="1:8">
      <c r="A17" s="308"/>
      <c r="B17" s="38"/>
      <c r="C17" s="38"/>
      <c r="D17" s="38"/>
      <c r="E17" s="38"/>
      <c r="F17" s="38"/>
      <c r="G17" s="150"/>
      <c r="H17" s="150"/>
    </row>
    <row r="18" spans="1:8">
      <c r="A18" s="308"/>
      <c r="B18" s="38"/>
      <c r="C18" s="38"/>
      <c r="D18" s="38"/>
      <c r="E18" s="38"/>
      <c r="F18" s="38"/>
      <c r="G18" s="150"/>
      <c r="H18" s="150"/>
    </row>
    <row r="19" spans="1:8">
      <c r="A19" s="308"/>
      <c r="B19" s="38"/>
      <c r="C19" s="38"/>
      <c r="D19" s="38"/>
      <c r="E19" s="38"/>
      <c r="F19" s="38"/>
      <c r="G19" s="150"/>
      <c r="H19" s="150"/>
    </row>
    <row r="20" spans="1:8">
      <c r="A20" s="308"/>
      <c r="B20" s="311"/>
      <c r="C20" s="311"/>
      <c r="D20" s="311"/>
      <c r="E20" s="311"/>
      <c r="F20" s="311"/>
      <c r="G20" s="150"/>
      <c r="H20" s="150"/>
    </row>
    <row r="21" spans="1:8">
      <c r="A21" s="308"/>
      <c r="B21" s="312"/>
      <c r="C21" s="313"/>
      <c r="D21" s="313"/>
      <c r="E21" s="313"/>
      <c r="F21" s="314"/>
      <c r="G21" s="150"/>
      <c r="H21" s="150"/>
    </row>
    <row r="22" spans="1:8">
      <c r="A22" s="57"/>
      <c r="B22" s="315"/>
      <c r="C22" s="315"/>
      <c r="D22" s="315"/>
      <c r="E22" s="315"/>
      <c r="F22" s="315"/>
      <c r="G22" s="150"/>
      <c r="H22" s="150"/>
    </row>
    <row r="23" spans="1:8">
      <c r="A23" s="57"/>
      <c r="B23" s="315"/>
      <c r="C23" s="315"/>
      <c r="D23" s="315"/>
      <c r="E23" s="315"/>
      <c r="F23" s="315"/>
      <c r="G23" s="150"/>
      <c r="H23" s="150"/>
    </row>
    <row r="24" spans="1:8">
      <c r="A24" s="305" t="s">
        <v>448</v>
      </c>
      <c r="B24" s="57"/>
      <c r="C24" s="57"/>
      <c r="D24" s="57"/>
      <c r="E24" s="57"/>
      <c r="F24" s="57"/>
      <c r="G24" s="150"/>
      <c r="H24" s="150" t="s">
        <v>449</v>
      </c>
    </row>
    <row r="25" spans="1:8">
      <c r="A25" s="306" t="s">
        <v>450</v>
      </c>
      <c r="B25" s="316"/>
      <c r="C25" s="307">
        <f>+Pressupostos!B11</f>
        <v>2024</v>
      </c>
      <c r="D25" s="307">
        <f>+C25+1</f>
        <v>2025</v>
      </c>
      <c r="E25" s="307">
        <f>+D25+1</f>
        <v>2026</v>
      </c>
      <c r="F25" s="307">
        <f>+E25+1</f>
        <v>2027</v>
      </c>
      <c r="G25" s="307">
        <f>+F25+1</f>
        <v>2028</v>
      </c>
      <c r="H25" s="307">
        <f>+G25+1</f>
        <v>2029</v>
      </c>
    </row>
    <row r="26" spans="1:8">
      <c r="A26" s="292" t="s">
        <v>444</v>
      </c>
      <c r="B26" s="317"/>
      <c r="C26" s="309"/>
      <c r="D26" s="309"/>
      <c r="E26" s="309"/>
      <c r="F26" s="309"/>
      <c r="G26" s="309"/>
      <c r="H26" s="309"/>
    </row>
    <row r="27" spans="1:8">
      <c r="A27" s="292" t="s">
        <v>445</v>
      </c>
      <c r="B27" s="318"/>
      <c r="C27" s="38"/>
      <c r="D27" s="38"/>
      <c r="E27" s="38"/>
      <c r="F27" s="38"/>
      <c r="G27" s="38"/>
      <c r="H27" s="38"/>
    </row>
    <row r="28" spans="1:8">
      <c r="A28" s="292" t="s">
        <v>446</v>
      </c>
      <c r="B28" s="318"/>
      <c r="C28" s="38"/>
      <c r="D28" s="38"/>
      <c r="E28" s="38"/>
      <c r="F28" s="38"/>
      <c r="G28" s="38"/>
      <c r="H28" s="38"/>
    </row>
    <row r="29" spans="1:8">
      <c r="A29" s="292" t="s">
        <v>447</v>
      </c>
      <c r="B29" s="318"/>
      <c r="C29" s="38"/>
      <c r="D29" s="38"/>
      <c r="E29" s="38"/>
      <c r="F29" s="38"/>
      <c r="G29" s="38"/>
      <c r="H29" s="38"/>
    </row>
    <row r="30" spans="1:8">
      <c r="A30" s="308"/>
      <c r="B30" s="318"/>
      <c r="C30" s="38"/>
      <c r="D30" s="38"/>
      <c r="E30" s="38"/>
      <c r="F30" s="38"/>
      <c r="G30" s="38"/>
      <c r="H30" s="38"/>
    </row>
    <row r="31" spans="1:8">
      <c r="A31" s="308"/>
      <c r="B31" s="318"/>
      <c r="C31" s="38"/>
      <c r="D31" s="38"/>
      <c r="E31" s="38"/>
      <c r="F31" s="38"/>
      <c r="G31" s="38"/>
      <c r="H31" s="38"/>
    </row>
    <row r="32" spans="1:8">
      <c r="A32" s="310"/>
      <c r="B32" s="318"/>
      <c r="C32" s="38"/>
      <c r="D32" s="38"/>
      <c r="E32" s="38"/>
      <c r="F32" s="38"/>
      <c r="G32" s="38"/>
      <c r="H32" s="38"/>
    </row>
    <row r="33" spans="1:8">
      <c r="A33" s="519" t="s">
        <v>172</v>
      </c>
      <c r="B33" s="520"/>
      <c r="C33" s="319">
        <f t="shared" ref="C33:H33" si="0">+SUM(C26:C32)</f>
        <v>0</v>
      </c>
      <c r="D33" s="319">
        <f t="shared" si="0"/>
        <v>0</v>
      </c>
      <c r="E33" s="319">
        <f t="shared" si="0"/>
        <v>0</v>
      </c>
      <c r="F33" s="319">
        <f t="shared" si="0"/>
        <v>0</v>
      </c>
      <c r="G33" s="319">
        <f t="shared" si="0"/>
        <v>0</v>
      </c>
      <c r="H33" s="319">
        <f t="shared" si="0"/>
        <v>0</v>
      </c>
    </row>
    <row r="34" spans="1:8">
      <c r="A34" s="85"/>
      <c r="B34" s="320"/>
      <c r="C34" s="150"/>
      <c r="D34" s="150"/>
      <c r="E34" s="150"/>
      <c r="F34" s="150"/>
      <c r="G34" s="150"/>
      <c r="H34" s="150"/>
    </row>
    <row r="35" spans="1:8">
      <c r="A35" s="305" t="s">
        <v>451</v>
      </c>
      <c r="B35" s="57"/>
      <c r="C35" s="57"/>
      <c r="D35" s="57"/>
      <c r="E35" s="57"/>
      <c r="F35" s="57"/>
      <c r="G35" s="150"/>
      <c r="H35" s="150" t="s">
        <v>449</v>
      </c>
    </row>
    <row r="36" spans="1:8">
      <c r="A36" s="519" t="s">
        <v>452</v>
      </c>
      <c r="B36" s="520"/>
      <c r="C36" s="307">
        <f t="shared" ref="C36:H36" si="1">+C25</f>
        <v>2024</v>
      </c>
      <c r="D36" s="307">
        <f t="shared" si="1"/>
        <v>2025</v>
      </c>
      <c r="E36" s="307">
        <f t="shared" si="1"/>
        <v>2026</v>
      </c>
      <c r="F36" s="307">
        <f t="shared" si="1"/>
        <v>2027</v>
      </c>
      <c r="G36" s="307">
        <f t="shared" si="1"/>
        <v>2028</v>
      </c>
      <c r="H36" s="307">
        <f t="shared" si="1"/>
        <v>2029</v>
      </c>
    </row>
    <row r="37" spans="1:8">
      <c r="A37" s="308"/>
      <c r="B37" s="317"/>
      <c r="C37" s="309"/>
      <c r="D37" s="309"/>
      <c r="E37" s="309"/>
      <c r="F37" s="309"/>
      <c r="G37" s="309"/>
      <c r="H37" s="309"/>
    </row>
    <row r="38" spans="1:8">
      <c r="A38" s="321"/>
      <c r="B38" s="317"/>
      <c r="C38" s="309"/>
      <c r="D38" s="309"/>
      <c r="E38" s="309"/>
      <c r="F38" s="309"/>
      <c r="G38" s="309"/>
      <c r="H38" s="309"/>
    </row>
    <row r="39" spans="1:8">
      <c r="A39" s="321"/>
      <c r="B39" s="317"/>
      <c r="C39" s="309"/>
      <c r="D39" s="309"/>
      <c r="E39" s="309"/>
      <c r="F39" s="309"/>
      <c r="G39" s="309"/>
      <c r="H39" s="309"/>
    </row>
    <row r="40" spans="1:8">
      <c r="A40" s="321"/>
      <c r="B40" s="317"/>
      <c r="C40" s="309"/>
      <c r="D40" s="309"/>
      <c r="E40" s="309"/>
      <c r="F40" s="309"/>
      <c r="G40" s="309"/>
      <c r="H40" s="309"/>
    </row>
    <row r="41" spans="1:8">
      <c r="A41" s="321"/>
      <c r="B41" s="317"/>
      <c r="C41" s="309"/>
      <c r="D41" s="309"/>
      <c r="E41" s="309"/>
      <c r="F41" s="309"/>
      <c r="G41" s="309"/>
      <c r="H41" s="309"/>
    </row>
    <row r="42" spans="1:8">
      <c r="A42" s="321"/>
      <c r="B42" s="317"/>
      <c r="C42" s="309"/>
      <c r="D42" s="309"/>
      <c r="E42" s="309"/>
      <c r="F42" s="309"/>
      <c r="G42" s="309"/>
      <c r="H42" s="309"/>
    </row>
    <row r="43" spans="1:8">
      <c r="A43" s="321"/>
      <c r="B43" s="317"/>
      <c r="C43" s="309"/>
      <c r="D43" s="309"/>
      <c r="E43" s="309"/>
      <c r="F43" s="309"/>
      <c r="G43" s="309"/>
      <c r="H43" s="309"/>
    </row>
    <row r="44" spans="1:8">
      <c r="A44" s="321"/>
      <c r="B44" s="318"/>
      <c r="C44" s="309"/>
      <c r="D44" s="309"/>
      <c r="E44" s="309"/>
      <c r="F44" s="309"/>
      <c r="G44" s="309"/>
      <c r="H44" s="309"/>
    </row>
    <row r="45" spans="1:8">
      <c r="A45" s="321"/>
      <c r="B45" s="318"/>
      <c r="C45" s="309"/>
      <c r="D45" s="309"/>
      <c r="E45" s="309"/>
      <c r="F45" s="309"/>
      <c r="G45" s="309"/>
      <c r="H45" s="309"/>
    </row>
    <row r="46" spans="1:8">
      <c r="A46" s="321"/>
      <c r="B46" s="318"/>
      <c r="C46" s="309"/>
      <c r="D46" s="309"/>
      <c r="E46" s="309"/>
      <c r="F46" s="309"/>
      <c r="G46" s="309"/>
      <c r="H46" s="309"/>
    </row>
    <row r="47" spans="1:8">
      <c r="A47" s="308"/>
      <c r="B47" s="318"/>
      <c r="C47" s="309"/>
      <c r="D47" s="309"/>
      <c r="E47" s="309"/>
      <c r="F47" s="309"/>
      <c r="G47" s="309"/>
      <c r="H47" s="309"/>
    </row>
    <row r="48" spans="1:8">
      <c r="A48" s="308"/>
      <c r="B48" s="318"/>
      <c r="C48" s="309"/>
      <c r="D48" s="309"/>
      <c r="E48" s="309"/>
      <c r="F48" s="309"/>
      <c r="G48" s="309"/>
      <c r="H48" s="309"/>
    </row>
    <row r="49" spans="1:8">
      <c r="A49" s="308"/>
      <c r="B49" s="318"/>
      <c r="C49" s="309"/>
      <c r="D49" s="309"/>
      <c r="E49" s="309"/>
      <c r="F49" s="309"/>
      <c r="G49" s="309"/>
      <c r="H49" s="309"/>
    </row>
    <row r="50" spans="1:8">
      <c r="A50" s="310"/>
      <c r="B50" s="318"/>
      <c r="C50" s="38"/>
      <c r="D50" s="38"/>
      <c r="E50" s="38"/>
      <c r="F50" s="38"/>
      <c r="G50" s="38"/>
      <c r="H50" s="38"/>
    </row>
    <row r="51" spans="1:8">
      <c r="A51" s="57"/>
      <c r="B51" s="57"/>
      <c r="C51" s="57"/>
      <c r="D51" s="57"/>
      <c r="E51" s="57"/>
      <c r="F51" s="57"/>
      <c r="G51" s="57"/>
      <c r="H51" s="57"/>
    </row>
    <row r="52" spans="1:8">
      <c r="A52" s="57"/>
      <c r="B52" s="57"/>
      <c r="C52" s="57"/>
      <c r="D52" s="57"/>
      <c r="E52" s="57"/>
      <c r="F52" s="57"/>
      <c r="G52" s="57"/>
      <c r="H52" s="57"/>
    </row>
    <row r="53" spans="1:8">
      <c r="A53" s="305" t="s">
        <v>453</v>
      </c>
      <c r="B53" s="57"/>
      <c r="C53" s="57"/>
      <c r="D53" s="57"/>
      <c r="E53" s="57"/>
      <c r="F53" s="57"/>
      <c r="G53" s="150"/>
      <c r="H53" s="150"/>
    </row>
    <row r="54" spans="1:8">
      <c r="A54" s="519" t="s">
        <v>454</v>
      </c>
      <c r="B54" s="520"/>
      <c r="C54" s="307">
        <f t="shared" ref="C54:H54" si="2">+C36</f>
        <v>2024</v>
      </c>
      <c r="D54" s="307">
        <f t="shared" si="2"/>
        <v>2025</v>
      </c>
      <c r="E54" s="307">
        <f t="shared" si="2"/>
        <v>2026</v>
      </c>
      <c r="F54" s="307">
        <f t="shared" si="2"/>
        <v>2027</v>
      </c>
      <c r="G54" s="307">
        <f t="shared" si="2"/>
        <v>2028</v>
      </c>
      <c r="H54" s="307">
        <f t="shared" si="2"/>
        <v>2029</v>
      </c>
    </row>
    <row r="55" spans="1:8">
      <c r="A55" s="308"/>
      <c r="B55" s="317"/>
      <c r="C55" s="309"/>
      <c r="D55" s="309"/>
      <c r="E55" s="309"/>
      <c r="F55" s="309"/>
      <c r="G55" s="309"/>
      <c r="H55" s="309"/>
    </row>
    <row r="56" spans="1:8">
      <c r="A56" s="321"/>
      <c r="B56" s="317"/>
      <c r="C56" s="309"/>
      <c r="D56" s="309"/>
      <c r="E56" s="309"/>
      <c r="F56" s="309"/>
      <c r="G56" s="309"/>
      <c r="H56" s="309"/>
    </row>
    <row r="57" spans="1:8">
      <c r="A57" s="321"/>
      <c r="B57" s="317"/>
      <c r="C57" s="309"/>
      <c r="D57" s="309"/>
      <c r="E57" s="309"/>
      <c r="F57" s="309"/>
      <c r="G57" s="309"/>
      <c r="H57" s="309"/>
    </row>
    <row r="58" spans="1:8">
      <c r="A58" s="321"/>
      <c r="B58" s="317"/>
      <c r="C58" s="309"/>
      <c r="D58" s="309"/>
      <c r="E58" s="309"/>
      <c r="F58" s="309"/>
      <c r="G58" s="309"/>
      <c r="H58" s="309"/>
    </row>
    <row r="59" spans="1:8">
      <c r="A59" s="321"/>
      <c r="B59" s="317"/>
      <c r="C59" s="309"/>
      <c r="D59" s="309"/>
      <c r="E59" s="309"/>
      <c r="F59" s="309"/>
      <c r="G59" s="309"/>
      <c r="H59" s="309"/>
    </row>
    <row r="60" spans="1:8">
      <c r="A60" s="321"/>
      <c r="B60" s="317"/>
      <c r="C60" s="309"/>
      <c r="D60" s="309"/>
      <c r="E60" s="309"/>
      <c r="F60" s="309"/>
      <c r="G60" s="309"/>
      <c r="H60" s="309"/>
    </row>
    <row r="61" spans="1:8">
      <c r="A61" s="321"/>
      <c r="B61" s="317"/>
      <c r="C61" s="309"/>
      <c r="D61" s="309"/>
      <c r="E61" s="309"/>
      <c r="F61" s="309"/>
      <c r="G61" s="309"/>
      <c r="H61" s="309"/>
    </row>
    <row r="62" spans="1:8">
      <c r="A62" s="321"/>
      <c r="B62" s="318"/>
      <c r="C62" s="38"/>
      <c r="D62" s="38"/>
      <c r="E62" s="38"/>
      <c r="F62" s="38"/>
      <c r="G62" s="38"/>
      <c r="H62" s="38"/>
    </row>
    <row r="63" spans="1:8">
      <c r="A63" s="321"/>
      <c r="B63" s="318"/>
      <c r="C63" s="38"/>
      <c r="D63" s="38"/>
      <c r="E63" s="38"/>
      <c r="F63" s="38"/>
      <c r="G63" s="38"/>
      <c r="H63" s="38"/>
    </row>
    <row r="64" spans="1:8">
      <c r="A64" s="321"/>
      <c r="B64" s="318"/>
      <c r="C64" s="38"/>
      <c r="D64" s="38"/>
      <c r="E64" s="38"/>
      <c r="F64" s="38"/>
      <c r="G64" s="38"/>
      <c r="H64" s="38"/>
    </row>
    <row r="65" spans="1:8">
      <c r="A65" s="308"/>
      <c r="B65" s="318"/>
      <c r="C65" s="38"/>
      <c r="D65" s="38"/>
      <c r="E65" s="38"/>
      <c r="F65" s="38"/>
      <c r="G65" s="38"/>
      <c r="H65" s="38"/>
    </row>
    <row r="66" spans="1:8">
      <c r="A66" s="308"/>
      <c r="B66" s="318"/>
      <c r="C66" s="38"/>
      <c r="D66" s="38"/>
      <c r="E66" s="38"/>
      <c r="F66" s="38"/>
      <c r="G66" s="38"/>
      <c r="H66" s="38"/>
    </row>
    <row r="67" spans="1:8">
      <c r="A67" s="308"/>
      <c r="B67" s="318"/>
      <c r="C67" s="38"/>
      <c r="D67" s="38"/>
      <c r="E67" s="38"/>
      <c r="F67" s="38"/>
      <c r="G67" s="38"/>
      <c r="H67" s="38"/>
    </row>
    <row r="68" spans="1:8">
      <c r="A68" s="310"/>
      <c r="B68" s="318"/>
      <c r="C68" s="38"/>
      <c r="D68" s="38"/>
      <c r="E68" s="38"/>
      <c r="F68" s="38"/>
      <c r="G68" s="38"/>
      <c r="H68" s="38"/>
    </row>
    <row r="69" spans="1:8">
      <c r="A69" s="57"/>
      <c r="B69" s="57"/>
      <c r="C69" s="57"/>
      <c r="D69" s="57"/>
      <c r="E69" s="57"/>
      <c r="F69" s="57"/>
      <c r="G69" s="57"/>
      <c r="H69" s="57"/>
    </row>
    <row r="70" spans="1:8">
      <c r="A70" s="57"/>
      <c r="B70" s="57"/>
      <c r="C70" s="57"/>
      <c r="D70" s="57"/>
      <c r="E70" s="57"/>
      <c r="F70" s="57"/>
      <c r="G70" s="57"/>
      <c r="H70" s="57"/>
    </row>
    <row r="71" spans="1:8">
      <c r="A71" s="305" t="s">
        <v>455</v>
      </c>
      <c r="B71" s="57"/>
      <c r="C71" s="57"/>
      <c r="D71" s="57"/>
      <c r="E71" s="57"/>
      <c r="F71" s="57"/>
      <c r="G71" s="150"/>
      <c r="H71" s="150"/>
    </row>
    <row r="72" spans="1:8">
      <c r="A72" s="519" t="s">
        <v>454</v>
      </c>
      <c r="B72" s="520"/>
      <c r="C72" s="307">
        <f t="shared" ref="C72:H72" si="3">+C25</f>
        <v>2024</v>
      </c>
      <c r="D72" s="307">
        <f t="shared" si="3"/>
        <v>2025</v>
      </c>
      <c r="E72" s="307">
        <f t="shared" si="3"/>
        <v>2026</v>
      </c>
      <c r="F72" s="307">
        <f t="shared" si="3"/>
        <v>2027</v>
      </c>
      <c r="G72" s="307">
        <f t="shared" si="3"/>
        <v>2028</v>
      </c>
      <c r="H72" s="307">
        <f t="shared" si="3"/>
        <v>2029</v>
      </c>
    </row>
    <row r="73" spans="1:8">
      <c r="A73" s="308"/>
      <c r="B73" s="317"/>
      <c r="C73" s="309">
        <f t="shared" ref="C73:H73" si="4">+C37*C55</f>
        <v>0</v>
      </c>
      <c r="D73" s="309">
        <f t="shared" si="4"/>
        <v>0</v>
      </c>
      <c r="E73" s="309">
        <f t="shared" si="4"/>
        <v>0</v>
      </c>
      <c r="F73" s="309">
        <f t="shared" si="4"/>
        <v>0</v>
      </c>
      <c r="G73" s="309">
        <f t="shared" si="4"/>
        <v>0</v>
      </c>
      <c r="H73" s="309">
        <f t="shared" si="4"/>
        <v>0</v>
      </c>
    </row>
    <row r="74" spans="1:8">
      <c r="A74" s="321"/>
      <c r="B74" s="317"/>
      <c r="C74" s="309">
        <f t="shared" ref="C74:H86" si="5">+C38*C56</f>
        <v>0</v>
      </c>
      <c r="D74" s="309">
        <f t="shared" si="5"/>
        <v>0</v>
      </c>
      <c r="E74" s="309">
        <f t="shared" si="5"/>
        <v>0</v>
      </c>
      <c r="F74" s="309">
        <f t="shared" si="5"/>
        <v>0</v>
      </c>
      <c r="G74" s="309">
        <f t="shared" si="5"/>
        <v>0</v>
      </c>
      <c r="H74" s="309">
        <f t="shared" si="5"/>
        <v>0</v>
      </c>
    </row>
    <row r="75" spans="1:8">
      <c r="A75" s="321"/>
      <c r="B75" s="317"/>
      <c r="C75" s="309">
        <f t="shared" si="5"/>
        <v>0</v>
      </c>
      <c r="D75" s="309">
        <f t="shared" si="5"/>
        <v>0</v>
      </c>
      <c r="E75" s="309">
        <f t="shared" si="5"/>
        <v>0</v>
      </c>
      <c r="F75" s="309">
        <f t="shared" si="5"/>
        <v>0</v>
      </c>
      <c r="G75" s="309">
        <f t="shared" si="5"/>
        <v>0</v>
      </c>
      <c r="H75" s="309">
        <f t="shared" si="5"/>
        <v>0</v>
      </c>
    </row>
    <row r="76" spans="1:8">
      <c r="A76" s="321"/>
      <c r="B76" s="317"/>
      <c r="C76" s="309">
        <f t="shared" si="5"/>
        <v>0</v>
      </c>
      <c r="D76" s="309">
        <f t="shared" si="5"/>
        <v>0</v>
      </c>
      <c r="E76" s="309">
        <f t="shared" si="5"/>
        <v>0</v>
      </c>
      <c r="F76" s="309">
        <f t="shared" si="5"/>
        <v>0</v>
      </c>
      <c r="G76" s="309">
        <f t="shared" si="5"/>
        <v>0</v>
      </c>
      <c r="H76" s="309">
        <f t="shared" si="5"/>
        <v>0</v>
      </c>
    </row>
    <row r="77" spans="1:8">
      <c r="A77" s="321"/>
      <c r="B77" s="317"/>
      <c r="C77" s="309">
        <f t="shared" si="5"/>
        <v>0</v>
      </c>
      <c r="D77" s="309">
        <f t="shared" si="5"/>
        <v>0</v>
      </c>
      <c r="E77" s="309">
        <f t="shared" si="5"/>
        <v>0</v>
      </c>
      <c r="F77" s="309">
        <f t="shared" si="5"/>
        <v>0</v>
      </c>
      <c r="G77" s="309">
        <f t="shared" si="5"/>
        <v>0</v>
      </c>
      <c r="H77" s="309">
        <f t="shared" si="5"/>
        <v>0</v>
      </c>
    </row>
    <row r="78" spans="1:8">
      <c r="A78" s="321"/>
      <c r="B78" s="317"/>
      <c r="C78" s="309">
        <f t="shared" si="5"/>
        <v>0</v>
      </c>
      <c r="D78" s="309">
        <f t="shared" si="5"/>
        <v>0</v>
      </c>
      <c r="E78" s="309">
        <f t="shared" si="5"/>
        <v>0</v>
      </c>
      <c r="F78" s="309">
        <f t="shared" si="5"/>
        <v>0</v>
      </c>
      <c r="G78" s="309">
        <f t="shared" si="5"/>
        <v>0</v>
      </c>
      <c r="H78" s="309">
        <f t="shared" si="5"/>
        <v>0</v>
      </c>
    </row>
    <row r="79" spans="1:8">
      <c r="A79" s="321"/>
      <c r="B79" s="317"/>
      <c r="C79" s="309">
        <f t="shared" si="5"/>
        <v>0</v>
      </c>
      <c r="D79" s="309">
        <f t="shared" si="5"/>
        <v>0</v>
      </c>
      <c r="E79" s="309">
        <f t="shared" si="5"/>
        <v>0</v>
      </c>
      <c r="F79" s="309">
        <f t="shared" si="5"/>
        <v>0</v>
      </c>
      <c r="G79" s="309">
        <f t="shared" si="5"/>
        <v>0</v>
      </c>
      <c r="H79" s="309">
        <f t="shared" si="5"/>
        <v>0</v>
      </c>
    </row>
    <row r="80" spans="1:8">
      <c r="A80" s="321"/>
      <c r="B80" s="318"/>
      <c r="C80" s="309">
        <f t="shared" si="5"/>
        <v>0</v>
      </c>
      <c r="D80" s="309">
        <f t="shared" si="5"/>
        <v>0</v>
      </c>
      <c r="E80" s="309">
        <f t="shared" si="5"/>
        <v>0</v>
      </c>
      <c r="F80" s="309">
        <f t="shared" si="5"/>
        <v>0</v>
      </c>
      <c r="G80" s="309">
        <f t="shared" si="5"/>
        <v>0</v>
      </c>
      <c r="H80" s="309">
        <f t="shared" si="5"/>
        <v>0</v>
      </c>
    </row>
    <row r="81" spans="1:8">
      <c r="A81" s="321"/>
      <c r="B81" s="318"/>
      <c r="C81" s="309">
        <f t="shared" si="5"/>
        <v>0</v>
      </c>
      <c r="D81" s="309">
        <f t="shared" si="5"/>
        <v>0</v>
      </c>
      <c r="E81" s="309">
        <f t="shared" si="5"/>
        <v>0</v>
      </c>
      <c r="F81" s="309">
        <f t="shared" si="5"/>
        <v>0</v>
      </c>
      <c r="G81" s="309">
        <f t="shared" si="5"/>
        <v>0</v>
      </c>
      <c r="H81" s="309">
        <f t="shared" si="5"/>
        <v>0</v>
      </c>
    </row>
    <row r="82" spans="1:8">
      <c r="A82" s="321"/>
      <c r="B82" s="318"/>
      <c r="C82" s="309">
        <f t="shared" si="5"/>
        <v>0</v>
      </c>
      <c r="D82" s="309">
        <f t="shared" si="5"/>
        <v>0</v>
      </c>
      <c r="E82" s="309">
        <f t="shared" si="5"/>
        <v>0</v>
      </c>
      <c r="F82" s="309">
        <f t="shared" si="5"/>
        <v>0</v>
      </c>
      <c r="G82" s="309">
        <f t="shared" si="5"/>
        <v>0</v>
      </c>
      <c r="H82" s="309">
        <f t="shared" si="5"/>
        <v>0</v>
      </c>
    </row>
    <row r="83" spans="1:8">
      <c r="A83" s="308"/>
      <c r="B83" s="318"/>
      <c r="C83" s="309">
        <f t="shared" si="5"/>
        <v>0</v>
      </c>
      <c r="D83" s="309">
        <f t="shared" si="5"/>
        <v>0</v>
      </c>
      <c r="E83" s="309">
        <f t="shared" si="5"/>
        <v>0</v>
      </c>
      <c r="F83" s="309">
        <f t="shared" si="5"/>
        <v>0</v>
      </c>
      <c r="G83" s="309">
        <f t="shared" si="5"/>
        <v>0</v>
      </c>
      <c r="H83" s="309">
        <f t="shared" si="5"/>
        <v>0</v>
      </c>
    </row>
    <row r="84" spans="1:8">
      <c r="A84" s="308"/>
      <c r="B84" s="318"/>
      <c r="C84" s="309">
        <f t="shared" si="5"/>
        <v>0</v>
      </c>
      <c r="D84" s="309">
        <f t="shared" si="5"/>
        <v>0</v>
      </c>
      <c r="E84" s="309">
        <f t="shared" si="5"/>
        <v>0</v>
      </c>
      <c r="F84" s="309">
        <f t="shared" si="5"/>
        <v>0</v>
      </c>
      <c r="G84" s="309">
        <f t="shared" si="5"/>
        <v>0</v>
      </c>
      <c r="H84" s="309">
        <f t="shared" si="5"/>
        <v>0</v>
      </c>
    </row>
    <row r="85" spans="1:8">
      <c r="A85" s="308"/>
      <c r="B85" s="318"/>
      <c r="C85" s="309">
        <f t="shared" si="5"/>
        <v>0</v>
      </c>
      <c r="D85" s="309">
        <f t="shared" si="5"/>
        <v>0</v>
      </c>
      <c r="E85" s="309">
        <f t="shared" si="5"/>
        <v>0</v>
      </c>
      <c r="F85" s="309">
        <f t="shared" si="5"/>
        <v>0</v>
      </c>
      <c r="G85" s="309">
        <f t="shared" si="5"/>
        <v>0</v>
      </c>
      <c r="H85" s="309">
        <f t="shared" si="5"/>
        <v>0</v>
      </c>
    </row>
    <row r="86" spans="1:8">
      <c r="A86" s="310"/>
      <c r="B86" s="318"/>
      <c r="C86" s="309">
        <f t="shared" si="5"/>
        <v>0</v>
      </c>
      <c r="D86" s="309">
        <f t="shared" si="5"/>
        <v>0</v>
      </c>
      <c r="E86" s="309">
        <f t="shared" si="5"/>
        <v>0</v>
      </c>
      <c r="F86" s="309">
        <f t="shared" si="5"/>
        <v>0</v>
      </c>
      <c r="G86" s="309">
        <f t="shared" si="5"/>
        <v>0</v>
      </c>
      <c r="H86" s="309">
        <f t="shared" si="5"/>
        <v>0</v>
      </c>
    </row>
    <row r="87" spans="1:8">
      <c r="A87" s="519" t="s">
        <v>172</v>
      </c>
      <c r="B87" s="520"/>
      <c r="C87" s="319">
        <f t="shared" ref="C87:H87" si="6">+SUM(C73:C86)</f>
        <v>0</v>
      </c>
      <c r="D87" s="319">
        <f t="shared" si="6"/>
        <v>0</v>
      </c>
      <c r="E87" s="319">
        <f t="shared" si="6"/>
        <v>0</v>
      </c>
      <c r="F87" s="319">
        <f t="shared" si="6"/>
        <v>0</v>
      </c>
      <c r="G87" s="319">
        <f t="shared" si="6"/>
        <v>0</v>
      </c>
      <c r="H87" s="319">
        <f t="shared" si="6"/>
        <v>0</v>
      </c>
    </row>
    <row r="88" spans="1:8">
      <c r="A88" s="57"/>
      <c r="B88" s="57"/>
      <c r="C88" s="57"/>
      <c r="D88" s="57"/>
      <c r="E88" s="57"/>
      <c r="F88" s="57"/>
      <c r="G88" s="57"/>
      <c r="H88" s="57"/>
    </row>
    <row r="89" spans="1:8">
      <c r="A89" s="57"/>
      <c r="B89" s="57"/>
      <c r="C89" s="57"/>
      <c r="D89" s="57"/>
      <c r="E89" s="57"/>
      <c r="F89" s="57"/>
      <c r="G89" s="57"/>
      <c r="H89" s="57"/>
    </row>
    <row r="90" spans="1:8">
      <c r="A90" s="149" t="s">
        <v>456</v>
      </c>
      <c r="B90" s="57"/>
      <c r="C90" s="57"/>
      <c r="D90" s="57"/>
      <c r="E90" s="57"/>
      <c r="F90" s="57"/>
      <c r="G90" s="57"/>
      <c r="H90" s="57"/>
    </row>
    <row r="91" spans="1:8">
      <c r="A91" s="149" t="s">
        <v>457</v>
      </c>
      <c r="B91" s="57"/>
      <c r="C91" s="57"/>
      <c r="D91" s="57"/>
      <c r="E91" s="57"/>
      <c r="F91" s="57"/>
      <c r="G91" s="57"/>
      <c r="H91" s="57"/>
    </row>
  </sheetData>
  <mergeCells count="6">
    <mergeCell ref="A72:B72"/>
    <mergeCell ref="A87:B87"/>
    <mergeCell ref="A4:H4"/>
    <mergeCell ref="A33:B33"/>
    <mergeCell ref="A36:B36"/>
    <mergeCell ref="A54:B54"/>
  </mergeCells>
  <phoneticPr fontId="18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519-5930-4C62-8ABC-57ADA7F1C5A6}">
  <sheetPr codeName="Folha7"/>
  <dimension ref="A1"/>
  <sheetViews>
    <sheetView workbookViewId="0">
      <selection activeCell="N25" sqref="N25"/>
    </sheetView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SBI Consulting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SBI Consulting</dc:creator>
  <cp:keywords/>
  <dc:description/>
  <cp:lastModifiedBy/>
  <cp:revision/>
  <dcterms:created xsi:type="dcterms:W3CDTF">2004-06-30T10:12:30Z</dcterms:created>
  <dcterms:modified xsi:type="dcterms:W3CDTF">2024-05-28T17:29:15Z</dcterms:modified>
  <cp:category/>
  <cp:contentStatus/>
</cp:coreProperties>
</file>